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b12d45ca624262/SLAB/Analyses Completed/Nelson/"/>
    </mc:Choice>
  </mc:AlternateContent>
  <xr:revisionPtr revIDLastSave="220" documentId="8_{6796D03E-7119-4D5C-BAA1-88ADAE27746B}" xr6:coauthVersionLast="47" xr6:coauthVersionMax="47" xr10:uidLastSave="{49345AA7-9543-4FF1-9EC2-6AD47E0B24CC}"/>
  <bookViews>
    <workbookView xWindow="-120" yWindow="-120" windowWidth="29040" windowHeight="15720" xr2:uid="{99EAB20E-0F92-4B24-9D6E-661C1DF9210C}"/>
  </bookViews>
  <sheets>
    <sheet name="Final Results" sheetId="2" r:id="rId1"/>
    <sheet name="Run File 11.14.24" sheetId="6" r:id="rId2"/>
    <sheet name="Run File 11.19.24" sheetId="13" r:id="rId3"/>
    <sheet name="Run File 11.21.24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2" l="1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A116" i="2"/>
  <c r="A117" i="2"/>
  <c r="A118" i="2"/>
  <c r="A119" i="2"/>
  <c r="A120" i="2"/>
  <c r="A121" i="2"/>
  <c r="A122" i="2"/>
  <c r="A123" i="2"/>
  <c r="A115" i="2"/>
  <c r="A106" i="2"/>
  <c r="A107" i="2"/>
  <c r="A108" i="2"/>
  <c r="A109" i="2"/>
  <c r="A110" i="2"/>
  <c r="A111" i="2"/>
  <c r="A112" i="2"/>
  <c r="A113" i="2"/>
  <c r="A114" i="2"/>
  <c r="A105" i="2"/>
  <c r="A96" i="2"/>
  <c r="A97" i="2"/>
  <c r="A98" i="2"/>
  <c r="A99" i="2"/>
  <c r="A100" i="2"/>
  <c r="A101" i="2"/>
  <c r="A102" i="2"/>
  <c r="A103" i="2"/>
  <c r="A104" i="2"/>
  <c r="A95" i="2"/>
  <c r="A86" i="2"/>
  <c r="A87" i="2"/>
  <c r="A88" i="2"/>
  <c r="A89" i="2"/>
  <c r="A90" i="2"/>
  <c r="A91" i="2"/>
  <c r="A92" i="2"/>
  <c r="A93" i="2"/>
  <c r="A94" i="2"/>
  <c r="A85" i="2"/>
  <c r="A77" i="2"/>
  <c r="A78" i="2"/>
  <c r="A79" i="2"/>
  <c r="A80" i="2"/>
  <c r="A81" i="2"/>
  <c r="A82" i="2"/>
  <c r="A83" i="2"/>
  <c r="A84" i="2"/>
  <c r="A76" i="2"/>
  <c r="A67" i="2"/>
  <c r="A68" i="2"/>
  <c r="A69" i="2"/>
  <c r="A70" i="2"/>
  <c r="A71" i="2"/>
  <c r="A72" i="2"/>
  <c r="A73" i="2"/>
  <c r="A74" i="2"/>
  <c r="A75" i="2"/>
  <c r="A66" i="2"/>
  <c r="A57" i="2"/>
  <c r="A58" i="2"/>
  <c r="A59" i="2"/>
  <c r="A60" i="2"/>
  <c r="A61" i="2"/>
  <c r="A62" i="2"/>
  <c r="A63" i="2"/>
  <c r="A64" i="2"/>
  <c r="A65" i="2"/>
  <c r="A56" i="2"/>
  <c r="A47" i="2"/>
  <c r="A48" i="2"/>
  <c r="A49" i="2"/>
  <c r="A50" i="2"/>
  <c r="A51" i="2"/>
  <c r="A52" i="2"/>
  <c r="A53" i="2"/>
  <c r="A54" i="2"/>
  <c r="A55" i="2"/>
  <c r="A46" i="2"/>
  <c r="A37" i="2"/>
  <c r="A38" i="2"/>
  <c r="A39" i="2"/>
  <c r="A40" i="2"/>
  <c r="A41" i="2"/>
  <c r="A42" i="2"/>
  <c r="A43" i="2"/>
  <c r="A44" i="2"/>
  <c r="A45" i="2"/>
  <c r="A36" i="2"/>
  <c r="A30" i="2"/>
  <c r="A31" i="2"/>
  <c r="A32" i="2"/>
  <c r="A33" i="2"/>
  <c r="A34" i="2"/>
  <c r="A35" i="2"/>
  <c r="A29" i="2"/>
  <c r="A23" i="2"/>
  <c r="A24" i="2"/>
  <c r="A25" i="2"/>
  <c r="A26" i="2"/>
  <c r="A27" i="2"/>
  <c r="A28" i="2"/>
  <c r="A22" i="2"/>
  <c r="A15" i="2"/>
  <c r="A16" i="2"/>
  <c r="A17" i="2"/>
  <c r="A18" i="2"/>
  <c r="A19" i="2"/>
  <c r="A20" i="2"/>
  <c r="A21" i="2"/>
  <c r="A14" i="2"/>
  <c r="E22" i="15"/>
  <c r="F22" i="15"/>
  <c r="G22" i="15"/>
  <c r="G79" i="15" l="1"/>
  <c r="F79" i="15"/>
  <c r="E79" i="15"/>
  <c r="G78" i="15"/>
  <c r="F78" i="15"/>
  <c r="E78" i="15"/>
  <c r="G77" i="15"/>
  <c r="F77" i="15"/>
  <c r="E77" i="15"/>
  <c r="G76" i="15"/>
  <c r="F76" i="15"/>
  <c r="E76" i="15"/>
  <c r="G75" i="15"/>
  <c r="F75" i="15"/>
  <c r="E75" i="15"/>
  <c r="G74" i="15"/>
  <c r="F74" i="15"/>
  <c r="E74" i="15"/>
  <c r="G73" i="15"/>
  <c r="F73" i="15"/>
  <c r="E73" i="15"/>
  <c r="G72" i="15"/>
  <c r="F72" i="15"/>
  <c r="E72" i="15"/>
  <c r="G71" i="15"/>
  <c r="F71" i="15"/>
  <c r="E71" i="15"/>
  <c r="G70" i="15"/>
  <c r="F70" i="15"/>
  <c r="E70" i="15"/>
  <c r="G69" i="15"/>
  <c r="F69" i="15"/>
  <c r="E69" i="15"/>
  <c r="G68" i="15"/>
  <c r="F68" i="15"/>
  <c r="E68" i="15"/>
  <c r="G67" i="15"/>
  <c r="F67" i="15"/>
  <c r="E67" i="15"/>
  <c r="G66" i="15"/>
  <c r="F66" i="15"/>
  <c r="E66" i="15"/>
  <c r="G65" i="15"/>
  <c r="F65" i="15"/>
  <c r="E65" i="15"/>
  <c r="G64" i="15"/>
  <c r="F64" i="15"/>
  <c r="E64" i="15"/>
  <c r="G63" i="15"/>
  <c r="F63" i="15"/>
  <c r="E63" i="15"/>
  <c r="G62" i="15"/>
  <c r="F62" i="15"/>
  <c r="E62" i="15"/>
  <c r="G61" i="15"/>
  <c r="F61" i="15"/>
  <c r="E61" i="15"/>
  <c r="G60" i="15"/>
  <c r="F60" i="15"/>
  <c r="E60" i="15"/>
  <c r="G59" i="15"/>
  <c r="F59" i="15"/>
  <c r="E59" i="15"/>
  <c r="G58" i="15"/>
  <c r="F58" i="15"/>
  <c r="E58" i="15"/>
  <c r="G57" i="15"/>
  <c r="F57" i="15"/>
  <c r="E57" i="15"/>
  <c r="G56" i="15"/>
  <c r="F56" i="15"/>
  <c r="E56" i="15"/>
  <c r="G55" i="15"/>
  <c r="F55" i="15"/>
  <c r="E55" i="15"/>
  <c r="G54" i="15"/>
  <c r="F54" i="15"/>
  <c r="E54" i="15"/>
  <c r="G53" i="15"/>
  <c r="F53" i="15"/>
  <c r="E53" i="15"/>
  <c r="G52" i="15"/>
  <c r="F52" i="15"/>
  <c r="E52" i="15"/>
  <c r="G51" i="15"/>
  <c r="F51" i="15"/>
  <c r="E51" i="15"/>
  <c r="G50" i="15"/>
  <c r="F50" i="15"/>
  <c r="E50" i="15"/>
  <c r="G49" i="15"/>
  <c r="F49" i="15"/>
  <c r="E49" i="15"/>
  <c r="G48" i="15"/>
  <c r="F48" i="15"/>
  <c r="E48" i="15"/>
  <c r="G47" i="15"/>
  <c r="F47" i="15"/>
  <c r="E47" i="15"/>
  <c r="G46" i="15"/>
  <c r="F46" i="15"/>
  <c r="E46" i="15"/>
  <c r="G45" i="15"/>
  <c r="F45" i="15"/>
  <c r="E45" i="15"/>
  <c r="G44" i="15"/>
  <c r="F44" i="15"/>
  <c r="E44" i="15"/>
  <c r="G43" i="15"/>
  <c r="F43" i="15"/>
  <c r="E43" i="15"/>
  <c r="G42" i="15"/>
  <c r="F42" i="15"/>
  <c r="E42" i="15"/>
  <c r="G41" i="15"/>
  <c r="F41" i="15"/>
  <c r="E41" i="15"/>
  <c r="G40" i="15"/>
  <c r="F40" i="15"/>
  <c r="E40" i="15"/>
  <c r="G39" i="15"/>
  <c r="F39" i="15"/>
  <c r="E39" i="15"/>
  <c r="G38" i="15"/>
  <c r="F38" i="15"/>
  <c r="E38" i="15"/>
  <c r="G37" i="15"/>
  <c r="F37" i="15"/>
  <c r="E37" i="15"/>
  <c r="G36" i="15"/>
  <c r="F36" i="15"/>
  <c r="E36" i="15"/>
  <c r="G35" i="15"/>
  <c r="F35" i="15"/>
  <c r="E35" i="15"/>
  <c r="G34" i="15"/>
  <c r="F34" i="15"/>
  <c r="E34" i="15"/>
  <c r="G33" i="15"/>
  <c r="F33" i="15"/>
  <c r="E33" i="15"/>
  <c r="G32" i="15"/>
  <c r="F32" i="15"/>
  <c r="E32" i="15"/>
  <c r="G31" i="15"/>
  <c r="F31" i="15"/>
  <c r="E31" i="15"/>
  <c r="G30" i="15"/>
  <c r="F30" i="15"/>
  <c r="E30" i="15"/>
  <c r="G29" i="15"/>
  <c r="F29" i="15"/>
  <c r="E29" i="15"/>
  <c r="G28" i="15"/>
  <c r="F28" i="15"/>
  <c r="E28" i="15"/>
  <c r="G27" i="15"/>
  <c r="F27" i="15"/>
  <c r="E27" i="15"/>
  <c r="G26" i="15"/>
  <c r="F26" i="15"/>
  <c r="E26" i="15"/>
  <c r="G25" i="15"/>
  <c r="F25" i="15"/>
  <c r="E25" i="15"/>
  <c r="G24" i="15"/>
  <c r="F24" i="15"/>
  <c r="E24" i="15"/>
  <c r="G23" i="15"/>
  <c r="F23" i="15"/>
  <c r="E23" i="15"/>
  <c r="G21" i="15"/>
  <c r="F21" i="15"/>
  <c r="E21" i="15"/>
  <c r="G20" i="15"/>
  <c r="F20" i="15"/>
  <c r="E20" i="15"/>
  <c r="G19" i="15"/>
  <c r="F19" i="15"/>
  <c r="E19" i="15"/>
  <c r="G18" i="15"/>
  <c r="F18" i="15"/>
  <c r="E18" i="15"/>
  <c r="G17" i="15"/>
  <c r="F17" i="15"/>
  <c r="E17" i="15"/>
  <c r="G16" i="15"/>
  <c r="F16" i="15"/>
  <c r="E16" i="15"/>
  <c r="G15" i="15"/>
  <c r="F15" i="15"/>
  <c r="E15" i="15"/>
  <c r="G14" i="15"/>
  <c r="F14" i="15"/>
  <c r="E14" i="15"/>
  <c r="G17" i="13"/>
  <c r="E17" i="13"/>
  <c r="F17" i="13"/>
  <c r="F50" i="2" l="1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E51" i="2"/>
  <c r="E52" i="2"/>
  <c r="E53" i="2"/>
  <c r="E54" i="2"/>
  <c r="E55" i="2"/>
  <c r="E56" i="2"/>
  <c r="E57" i="2"/>
  <c r="E58" i="2"/>
  <c r="E59" i="2"/>
  <c r="E50" i="2"/>
  <c r="E53" i="13" l="1"/>
  <c r="F53" i="13"/>
  <c r="G53" i="13"/>
  <c r="E54" i="13"/>
  <c r="F54" i="13"/>
  <c r="G54" i="13"/>
  <c r="E55" i="13"/>
  <c r="F55" i="13"/>
  <c r="G55" i="13"/>
  <c r="E56" i="13"/>
  <c r="F56" i="13"/>
  <c r="G56" i="13"/>
  <c r="E57" i="13"/>
  <c r="F57" i="13"/>
  <c r="G57" i="13"/>
  <c r="E58" i="13"/>
  <c r="F58" i="13"/>
  <c r="G58" i="13"/>
  <c r="E59" i="13"/>
  <c r="F59" i="13"/>
  <c r="G59" i="13"/>
  <c r="E60" i="13"/>
  <c r="F60" i="13"/>
  <c r="G60" i="13"/>
  <c r="E61" i="13"/>
  <c r="F61" i="13"/>
  <c r="G61" i="13"/>
  <c r="E62" i="13"/>
  <c r="F62" i="13"/>
  <c r="G62" i="13"/>
  <c r="E63" i="13"/>
  <c r="F63" i="13"/>
  <c r="G63" i="13"/>
  <c r="E64" i="13"/>
  <c r="F64" i="13"/>
  <c r="G64" i="13"/>
  <c r="E65" i="13"/>
  <c r="F65" i="13"/>
  <c r="G65" i="13"/>
  <c r="E66" i="13"/>
  <c r="F66" i="13"/>
  <c r="G66" i="13"/>
  <c r="E67" i="13"/>
  <c r="F67" i="13"/>
  <c r="G67" i="13"/>
  <c r="E68" i="13"/>
  <c r="F68" i="13"/>
  <c r="G68" i="13"/>
  <c r="E69" i="13"/>
  <c r="F69" i="13"/>
  <c r="G69" i="13"/>
  <c r="E70" i="13"/>
  <c r="F70" i="13"/>
  <c r="G70" i="13"/>
  <c r="E71" i="13"/>
  <c r="F71" i="13"/>
  <c r="G71" i="13"/>
  <c r="E72" i="13"/>
  <c r="F72" i="13"/>
  <c r="G72" i="13"/>
  <c r="E73" i="13"/>
  <c r="F73" i="13"/>
  <c r="G73" i="13"/>
  <c r="E74" i="13"/>
  <c r="F74" i="13"/>
  <c r="G74" i="13"/>
  <c r="E75" i="13"/>
  <c r="F75" i="13"/>
  <c r="G75" i="13"/>
  <c r="E76" i="13"/>
  <c r="F76" i="13"/>
  <c r="G76" i="13"/>
  <c r="E77" i="13"/>
  <c r="F77" i="13"/>
  <c r="G77" i="13"/>
  <c r="E78" i="13"/>
  <c r="F78" i="13"/>
  <c r="G78" i="13"/>
  <c r="G52" i="13"/>
  <c r="F52" i="13"/>
  <c r="E52" i="13"/>
  <c r="G51" i="13"/>
  <c r="F51" i="13"/>
  <c r="E51" i="13"/>
  <c r="G50" i="13"/>
  <c r="F50" i="13"/>
  <c r="E50" i="13"/>
  <c r="G49" i="13"/>
  <c r="F49" i="13"/>
  <c r="E49" i="13"/>
  <c r="G48" i="13"/>
  <c r="F48" i="13"/>
  <c r="E48" i="13"/>
  <c r="G47" i="13"/>
  <c r="F47" i="13"/>
  <c r="E47" i="13"/>
  <c r="G46" i="13"/>
  <c r="F46" i="13"/>
  <c r="E46" i="13"/>
  <c r="G45" i="13"/>
  <c r="F45" i="13"/>
  <c r="E45" i="13"/>
  <c r="G44" i="13"/>
  <c r="F44" i="13"/>
  <c r="E44" i="13"/>
  <c r="G43" i="13"/>
  <c r="F43" i="13"/>
  <c r="E43" i="13"/>
  <c r="G42" i="13"/>
  <c r="F42" i="13"/>
  <c r="E42" i="13"/>
  <c r="G41" i="13"/>
  <c r="F41" i="13"/>
  <c r="E41" i="13"/>
  <c r="G40" i="13"/>
  <c r="F40" i="13"/>
  <c r="E40" i="13"/>
  <c r="G39" i="13"/>
  <c r="F39" i="13"/>
  <c r="E39" i="13"/>
  <c r="G38" i="13"/>
  <c r="F38" i="13"/>
  <c r="E38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G23" i="13"/>
  <c r="F23" i="13"/>
  <c r="E23" i="13"/>
  <c r="G22" i="13"/>
  <c r="F22" i="13"/>
  <c r="E22" i="13"/>
  <c r="G21" i="13"/>
  <c r="F21" i="13"/>
  <c r="E21" i="13"/>
  <c r="G20" i="13"/>
  <c r="F20" i="13"/>
  <c r="E20" i="13"/>
  <c r="G19" i="13"/>
  <c r="F19" i="13"/>
  <c r="E19" i="13"/>
  <c r="G18" i="13"/>
  <c r="F18" i="13"/>
  <c r="E18" i="13"/>
  <c r="G16" i="13"/>
  <c r="F16" i="13"/>
  <c r="E16" i="13"/>
  <c r="G15" i="13"/>
  <c r="F15" i="13"/>
  <c r="E15" i="13"/>
  <c r="G14" i="13"/>
  <c r="F14" i="13"/>
  <c r="E14" i="13"/>
  <c r="E17" i="6"/>
  <c r="F17" i="6"/>
  <c r="G17" i="6"/>
  <c r="E18" i="6"/>
  <c r="F18" i="6"/>
  <c r="G18" i="6"/>
  <c r="E106" i="2" l="1"/>
  <c r="F108" i="2"/>
  <c r="E110" i="2"/>
  <c r="G110" i="2"/>
  <c r="E112" i="2"/>
  <c r="F114" i="2"/>
  <c r="E116" i="2"/>
  <c r="G116" i="2"/>
  <c r="E118" i="2"/>
  <c r="E120" i="2"/>
  <c r="G122" i="2"/>
  <c r="G15" i="2"/>
  <c r="F16" i="2"/>
  <c r="G16" i="2"/>
  <c r="F17" i="2"/>
  <c r="G17" i="2"/>
  <c r="F18" i="2"/>
  <c r="G18" i="2"/>
  <c r="G19" i="2"/>
  <c r="F20" i="2"/>
  <c r="F21" i="2"/>
  <c r="F22" i="2"/>
  <c r="G22" i="2"/>
  <c r="F23" i="2"/>
  <c r="G23" i="2"/>
  <c r="F24" i="2"/>
  <c r="G24" i="2"/>
  <c r="F25" i="2"/>
  <c r="G25" i="2"/>
  <c r="F26" i="2"/>
  <c r="G26" i="2"/>
  <c r="F27" i="2"/>
  <c r="F28" i="2"/>
  <c r="G28" i="2"/>
  <c r="F29" i="2"/>
  <c r="F30" i="2"/>
  <c r="G30" i="2"/>
  <c r="G31" i="2"/>
  <c r="G32" i="2"/>
  <c r="F33" i="2"/>
  <c r="G33" i="2"/>
  <c r="G34" i="2"/>
  <c r="F35" i="2"/>
  <c r="G35" i="2"/>
  <c r="F36" i="2"/>
  <c r="G36" i="2"/>
  <c r="F37" i="2"/>
  <c r="F38" i="2"/>
  <c r="G38" i="2"/>
  <c r="F39" i="2"/>
  <c r="G39" i="2"/>
  <c r="F40" i="2"/>
  <c r="G40" i="2"/>
  <c r="F41" i="2"/>
  <c r="G41" i="2"/>
  <c r="F42" i="2"/>
  <c r="G42" i="2"/>
  <c r="G43" i="2"/>
  <c r="F44" i="2"/>
  <c r="G44" i="2"/>
  <c r="G45" i="2"/>
  <c r="G46" i="2"/>
  <c r="G47" i="2"/>
  <c r="F48" i="2"/>
  <c r="G48" i="2"/>
  <c r="F49" i="2"/>
  <c r="F60" i="2"/>
  <c r="G60" i="2"/>
  <c r="G61" i="2"/>
  <c r="F62" i="2"/>
  <c r="G63" i="2"/>
  <c r="F64" i="2"/>
  <c r="G64" i="2"/>
  <c r="F65" i="2"/>
  <c r="G67" i="2"/>
  <c r="F68" i="2"/>
  <c r="F69" i="2"/>
  <c r="G69" i="2"/>
  <c r="F70" i="2"/>
  <c r="G70" i="2"/>
  <c r="F71" i="2"/>
  <c r="F72" i="2"/>
  <c r="G72" i="2"/>
  <c r="F73" i="2"/>
  <c r="G73" i="2"/>
  <c r="F74" i="2"/>
  <c r="F75" i="2"/>
  <c r="G75" i="2"/>
  <c r="G76" i="2"/>
  <c r="F77" i="2"/>
  <c r="F78" i="2"/>
  <c r="G78" i="2"/>
  <c r="F80" i="2"/>
  <c r="F81" i="2"/>
  <c r="G81" i="2"/>
  <c r="G82" i="2"/>
  <c r="F83" i="2"/>
  <c r="G83" i="2"/>
  <c r="F84" i="2"/>
  <c r="G84" i="2"/>
  <c r="F85" i="2"/>
  <c r="G85" i="2"/>
  <c r="F86" i="2"/>
  <c r="F87" i="2"/>
  <c r="G87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G108" i="2"/>
  <c r="F109" i="2"/>
  <c r="G109" i="2"/>
  <c r="F110" i="2"/>
  <c r="F111" i="2"/>
  <c r="G111" i="2"/>
  <c r="F112" i="2"/>
  <c r="G112" i="2"/>
  <c r="F113" i="2"/>
  <c r="G113" i="2"/>
  <c r="G114" i="2"/>
  <c r="F115" i="2"/>
  <c r="G115" i="2"/>
  <c r="F116" i="2"/>
  <c r="F117" i="2"/>
  <c r="G117" i="2"/>
  <c r="F118" i="2"/>
  <c r="G118" i="2"/>
  <c r="F119" i="2"/>
  <c r="G119" i="2"/>
  <c r="F120" i="2"/>
  <c r="G120" i="2"/>
  <c r="F121" i="2"/>
  <c r="G121" i="2"/>
  <c r="F122" i="2"/>
  <c r="F123" i="2"/>
  <c r="G123" i="2"/>
  <c r="E117" i="2"/>
  <c r="E119" i="2"/>
  <c r="E121" i="2"/>
  <c r="E122" i="2"/>
  <c r="E123" i="2"/>
  <c r="E107" i="2"/>
  <c r="E108" i="2"/>
  <c r="E109" i="2"/>
  <c r="E111" i="2"/>
  <c r="E113" i="2"/>
  <c r="E114" i="2"/>
  <c r="E115" i="2"/>
  <c r="E97" i="2"/>
  <c r="E98" i="2"/>
  <c r="E99" i="2"/>
  <c r="E100" i="2"/>
  <c r="E101" i="2"/>
  <c r="E102" i="2"/>
  <c r="E103" i="2"/>
  <c r="E104" i="2"/>
  <c r="E105" i="2"/>
  <c r="E96" i="2"/>
  <c r="E87" i="2"/>
  <c r="E89" i="2"/>
  <c r="E90" i="2"/>
  <c r="E91" i="2"/>
  <c r="E92" i="2"/>
  <c r="E93" i="2"/>
  <c r="E94" i="2"/>
  <c r="E95" i="2"/>
  <c r="E86" i="2"/>
  <c r="E77" i="2"/>
  <c r="E78" i="2"/>
  <c r="E80" i="2"/>
  <c r="E82" i="2"/>
  <c r="E83" i="2"/>
  <c r="E85" i="2"/>
  <c r="E88" i="2"/>
  <c r="E67" i="2"/>
  <c r="E68" i="2"/>
  <c r="E70" i="2"/>
  <c r="E71" i="2"/>
  <c r="E72" i="2"/>
  <c r="E73" i="2"/>
  <c r="E74" i="2"/>
  <c r="E75" i="2"/>
  <c r="E79" i="2"/>
  <c r="E66" i="2"/>
  <c r="E62" i="2"/>
  <c r="E63" i="2"/>
  <c r="E64" i="2"/>
  <c r="E49" i="2"/>
  <c r="E41" i="2"/>
  <c r="E42" i="2"/>
  <c r="E43" i="2"/>
  <c r="E44" i="2"/>
  <c r="E45" i="2"/>
  <c r="E46" i="2"/>
  <c r="E48" i="2"/>
  <c r="E40" i="2"/>
  <c r="E31" i="2"/>
  <c r="E32" i="2"/>
  <c r="E33" i="2"/>
  <c r="E34" i="2"/>
  <c r="E36" i="2"/>
  <c r="E37" i="2"/>
  <c r="E38" i="2"/>
  <c r="E39" i="2"/>
  <c r="E30" i="2"/>
  <c r="E22" i="2"/>
  <c r="E23" i="2"/>
  <c r="E24" i="2"/>
  <c r="E25" i="2"/>
  <c r="E26" i="2"/>
  <c r="E27" i="2"/>
  <c r="E28" i="2"/>
  <c r="E29" i="2"/>
  <c r="E21" i="2"/>
  <c r="E15" i="2"/>
  <c r="E16" i="2"/>
  <c r="E18" i="2"/>
  <c r="E19" i="2"/>
  <c r="E20" i="2"/>
  <c r="G80" i="2"/>
  <c r="F82" i="2"/>
  <c r="G86" i="2"/>
  <c r="F88" i="2"/>
  <c r="G79" i="2"/>
  <c r="F79" i="2"/>
  <c r="E35" i="2"/>
  <c r="E47" i="2"/>
  <c r="E60" i="2"/>
  <c r="E61" i="2"/>
  <c r="E65" i="2"/>
  <c r="E69" i="2"/>
  <c r="E76" i="2"/>
  <c r="E81" i="2"/>
  <c r="E84" i="2"/>
  <c r="F15" i="2"/>
  <c r="F19" i="2"/>
  <c r="G20" i="2"/>
  <c r="G21" i="2"/>
  <c r="G27" i="2"/>
  <c r="G29" i="2"/>
  <c r="F31" i="2"/>
  <c r="F32" i="2"/>
  <c r="F34" i="2"/>
  <c r="G37" i="2"/>
  <c r="F43" i="2"/>
  <c r="F45" i="2"/>
  <c r="F46" i="2"/>
  <c r="F47" i="2"/>
  <c r="G49" i="2"/>
  <c r="F61" i="2"/>
  <c r="G62" i="2"/>
  <c r="F63" i="2"/>
  <c r="G65" i="2"/>
  <c r="F66" i="2"/>
  <c r="G66" i="2"/>
  <c r="F67" i="2"/>
  <c r="G68" i="2"/>
  <c r="G71" i="2"/>
  <c r="G74" i="2"/>
  <c r="F76" i="2"/>
  <c r="G77" i="2"/>
  <c r="E17" i="2"/>
  <c r="E35" i="6"/>
  <c r="E36" i="6"/>
  <c r="E37" i="6"/>
  <c r="E34" i="6"/>
  <c r="E31" i="6"/>
  <c r="E32" i="6"/>
  <c r="E33" i="6"/>
  <c r="E27" i="6"/>
  <c r="E28" i="6"/>
  <c r="E29" i="6"/>
  <c r="E30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E26" i="6"/>
  <c r="G25" i="6"/>
  <c r="F25" i="6"/>
  <c r="E25" i="6"/>
  <c r="G24" i="6"/>
  <c r="F24" i="6"/>
  <c r="E24" i="6"/>
  <c r="G23" i="6"/>
  <c r="F23" i="6"/>
  <c r="E23" i="6"/>
  <c r="G22" i="6"/>
  <c r="F22" i="6"/>
  <c r="E22" i="6"/>
  <c r="G21" i="6"/>
  <c r="F21" i="6"/>
  <c r="E21" i="6"/>
  <c r="G20" i="6"/>
  <c r="F20" i="6"/>
  <c r="E20" i="6"/>
  <c r="G19" i="6"/>
  <c r="F19" i="6"/>
  <c r="E19" i="6"/>
  <c r="G16" i="6"/>
  <c r="F16" i="6"/>
  <c r="E16" i="6"/>
  <c r="G15" i="6"/>
  <c r="F15" i="6"/>
  <c r="E15" i="6"/>
  <c r="G14" i="6"/>
  <c r="F14" i="6"/>
  <c r="E14" i="6"/>
  <c r="F14" i="2" l="1"/>
  <c r="G14" i="2"/>
  <c r="E14" i="2"/>
</calcChain>
</file>

<file path=xl/sharedStrings.xml><?xml version="1.0" encoding="utf-8"?>
<sst xmlns="http://schemas.openxmlformats.org/spreadsheetml/2006/main" count="237" uniqueCount="145">
  <si>
    <t>System</t>
  </si>
  <si>
    <t>TOCReg</t>
  </si>
  <si>
    <t>Deep Seawater Reference Material</t>
    <phoneticPr fontId="0" type="noConversion"/>
  </si>
  <si>
    <t>S/W Version</t>
  </si>
  <si>
    <t>User</t>
  </si>
  <si>
    <t>Date</t>
  </si>
  <si>
    <t>Comments</t>
  </si>
  <si>
    <t>Standards</t>
    <phoneticPr fontId="0" type="noConversion"/>
  </si>
  <si>
    <t>Range</t>
    <phoneticPr fontId="0" type="noConversion"/>
  </si>
  <si>
    <t>0-5mg/L</t>
    <phoneticPr fontId="0" type="noConversion"/>
  </si>
  <si>
    <t>Raw data (mg/L)</t>
    <phoneticPr fontId="0" type="noConversion"/>
  </si>
  <si>
    <t>Unit conversion</t>
    <phoneticPr fontId="0" type="noConversion"/>
  </si>
  <si>
    <t>Sample</t>
    <phoneticPr fontId="0" type="noConversion"/>
  </si>
  <si>
    <t>NPOC (mg/L)</t>
    <phoneticPr fontId="0" type="noConversion"/>
  </si>
  <si>
    <t>TN (mg/L)</t>
    <phoneticPr fontId="0" type="noConversion"/>
  </si>
  <si>
    <t>NPOC (uM)</t>
    <phoneticPr fontId="0" type="noConversion"/>
  </si>
  <si>
    <t>TN (uM)</t>
    <phoneticPr fontId="0" type="noConversion"/>
  </si>
  <si>
    <t>A.Whitworth</t>
  </si>
  <si>
    <t>Data Provided by:</t>
    <phoneticPr fontId="0" type="noConversion"/>
  </si>
  <si>
    <t xml:space="preserve">SOEST Laboratory for </t>
    <phoneticPr fontId="0" type="noConversion"/>
  </si>
  <si>
    <t>Analtyical Biogeochemistry (S-LAB)</t>
    <phoneticPr fontId="0" type="noConversion"/>
  </si>
  <si>
    <t xml:space="preserve">University of Hawaii at Manoa </t>
    <phoneticPr fontId="0" type="noConversion"/>
  </si>
  <si>
    <t>1000 Pope Rd</t>
    <phoneticPr fontId="0" type="noConversion"/>
  </si>
  <si>
    <t>Honolulu, HI 96822</t>
    <phoneticPr fontId="0" type="noConversion"/>
  </si>
  <si>
    <t>808-956-5878</t>
    <phoneticPr fontId="0" type="noConversion"/>
  </si>
  <si>
    <t>Date Samples Received:</t>
    <phoneticPr fontId="0" type="noConversion"/>
  </si>
  <si>
    <t>Project:</t>
  </si>
  <si>
    <t>LNSW</t>
  </si>
  <si>
    <t>DIW</t>
  </si>
  <si>
    <t>NPOC certified reference value 0.504-0.516 mg/L: 42-43 uM</t>
  </si>
  <si>
    <t>TN certified reference value 0.434-0.448 mg/L:  31-32 uM</t>
  </si>
  <si>
    <t>DSWR [B24,L05-24]</t>
  </si>
  <si>
    <t>Nelson/Rochette-Yu Tsuen</t>
  </si>
  <si>
    <t xml:space="preserve">F1_IN 06/02/24 12:00 </t>
  </si>
  <si>
    <t xml:space="preserve">F2_IN 06/02/24 12:00 </t>
  </si>
  <si>
    <t xml:space="preserve">T1 06/02/24 12:00 </t>
  </si>
  <si>
    <t xml:space="preserve">T2 06/02/24 12:00 </t>
  </si>
  <si>
    <t xml:space="preserve">T3 06/02/24 12:00 </t>
  </si>
  <si>
    <t xml:space="preserve">T4 06/02/24 12:00 </t>
  </si>
  <si>
    <t xml:space="preserve">T5 06/02/24 12:00 </t>
  </si>
  <si>
    <t xml:space="preserve">T6 06/02/24 12:00 </t>
  </si>
  <si>
    <t xml:space="preserve">T7 06/02/24 12:00 </t>
  </si>
  <si>
    <t xml:space="preserve">T8 06/02/24 12:00 </t>
  </si>
  <si>
    <t xml:space="preserve">T9 06/02/24 12:00 </t>
  </si>
  <si>
    <t xml:space="preserve">T10 06/02/24 12:00 </t>
  </si>
  <si>
    <t xml:space="preserve">T11 06/02/24 12:00 </t>
  </si>
  <si>
    <t xml:space="preserve">T12 06/02/24 12:00 </t>
  </si>
  <si>
    <t xml:space="preserve">T13 06/02/24 12:00 </t>
  </si>
  <si>
    <t>Nelson/Rochette-Yu Tsuen (10/10/24)</t>
  </si>
  <si>
    <t xml:space="preserve">T14 06/02/24 12:00 </t>
  </si>
  <si>
    <t xml:space="preserve">T15 06/02/24 12:00 </t>
  </si>
  <si>
    <t xml:space="preserve">T16 06/02/24 12:00 </t>
  </si>
  <si>
    <t xml:space="preserve">F1_IN 06/02/24 18:00 </t>
  </si>
  <si>
    <t xml:space="preserve">F2_IN 06/02/24 18:00 </t>
  </si>
  <si>
    <t xml:space="preserve">T1 06/02/24 18:00 </t>
  </si>
  <si>
    <t xml:space="preserve">T2 06/02/24 18:00 </t>
  </si>
  <si>
    <t xml:space="preserve">T3 06/02/24 18:00 </t>
  </si>
  <si>
    <t xml:space="preserve">T4 06/02/24 18:00 </t>
  </si>
  <si>
    <t xml:space="preserve">T5 06/02/24 18:00 </t>
  </si>
  <si>
    <t>T6 06/02/24 18:00</t>
  </si>
  <si>
    <t xml:space="preserve">T7 06/02/24 18:00 </t>
  </si>
  <si>
    <t xml:space="preserve">T8 06/02/24 18:00 </t>
  </si>
  <si>
    <t>T9 06/02/24 18:00</t>
  </si>
  <si>
    <t xml:space="preserve">T10 06/02/24 18:00 </t>
  </si>
  <si>
    <t xml:space="preserve">T11 06/02/24 18:00 </t>
  </si>
  <si>
    <t xml:space="preserve">T12 06/02/24 18:00 </t>
  </si>
  <si>
    <t xml:space="preserve">T13 06/02/24 18:00 </t>
  </si>
  <si>
    <t>T14 06/02/24 18:00</t>
  </si>
  <si>
    <t xml:space="preserve">T15 06/02/24 18:00 </t>
  </si>
  <si>
    <t xml:space="preserve">T16 06/02/24 18:00 </t>
  </si>
  <si>
    <t xml:space="preserve">F1_IN 06/03/24 0:00 </t>
  </si>
  <si>
    <t xml:space="preserve">F2_IN 06/03/24 0:00 </t>
  </si>
  <si>
    <t xml:space="preserve">T1 06/03/24 0:00 </t>
  </si>
  <si>
    <t xml:space="preserve">T2 06/03/24 0:00 </t>
  </si>
  <si>
    <t xml:space="preserve">T3 06/03/24 0:00 </t>
  </si>
  <si>
    <t xml:space="preserve">T4 06/03/24 0:00 </t>
  </si>
  <si>
    <t xml:space="preserve">T5 06/03/24 0:00 </t>
  </si>
  <si>
    <t xml:space="preserve">T6 06/03/24 0:00 </t>
  </si>
  <si>
    <t xml:space="preserve">T7 06/03/24 0:00 </t>
  </si>
  <si>
    <t xml:space="preserve">T8 06/03/24 0:00 </t>
  </si>
  <si>
    <t xml:space="preserve">T9 06/03/24 0:00 </t>
  </si>
  <si>
    <t xml:space="preserve">T10 06/03/24 0:00 </t>
  </si>
  <si>
    <t xml:space="preserve">T11 06/03/24 0:00 </t>
  </si>
  <si>
    <t xml:space="preserve">T12 06/03/24 0:00 </t>
  </si>
  <si>
    <t>T13 06/03/24 0:00</t>
  </si>
  <si>
    <t>T14 06/03/24 0:00</t>
  </si>
  <si>
    <t xml:space="preserve">T15 06/03/24 0:00 </t>
  </si>
  <si>
    <t xml:space="preserve">T16 06/03/24 0:00 </t>
  </si>
  <si>
    <t xml:space="preserve">F1_IN 06/03/24 6:00 </t>
  </si>
  <si>
    <t xml:space="preserve">T1 06/03/24 6:00 </t>
  </si>
  <si>
    <t xml:space="preserve">T2 06/03/24 6:00 </t>
  </si>
  <si>
    <t xml:space="preserve">T3 06/03/24 6:00 </t>
  </si>
  <si>
    <t xml:space="preserve">T4 06/03/24 6:00 </t>
  </si>
  <si>
    <t xml:space="preserve">T5 06/03/24 6:00 </t>
  </si>
  <si>
    <t>T6 06/03/24 6:00</t>
  </si>
  <si>
    <t xml:space="preserve">T7 06/03/24 6:00 </t>
  </si>
  <si>
    <t xml:space="preserve">DSWR [B24,L05-24] </t>
  </si>
  <si>
    <t xml:space="preserve">T8 06/03/24 6:00 </t>
  </si>
  <si>
    <t xml:space="preserve">T9 06/03/24 6:00 </t>
  </si>
  <si>
    <t xml:space="preserve">T10 06/03/24 6:00 </t>
  </si>
  <si>
    <t xml:space="preserve">T11 06/03/24 6:00 </t>
  </si>
  <si>
    <t xml:space="preserve">T13 06/03/24 6:00 </t>
  </si>
  <si>
    <t xml:space="preserve">T14 06/03/24 6:00 </t>
  </si>
  <si>
    <t xml:space="preserve">T15 06/03/24 6:00 </t>
  </si>
  <si>
    <t>T16 06/03/24 6:00</t>
  </si>
  <si>
    <t xml:space="preserve">F1 06/04/24 12:00 </t>
  </si>
  <si>
    <t xml:space="preserve">F2_IN 06/04/24 12:00 </t>
  </si>
  <si>
    <t xml:space="preserve">T1 06/04/24 12:00 </t>
  </si>
  <si>
    <t>T2 06/04/24 12:00</t>
  </si>
  <si>
    <t>T3 06/04/24 12:00</t>
  </si>
  <si>
    <t xml:space="preserve">T4 06/04/24 12:00 </t>
  </si>
  <si>
    <t xml:space="preserve">T5 06/04/24 12:00 </t>
  </si>
  <si>
    <t xml:space="preserve">T6 06/04/24 12:00 </t>
  </si>
  <si>
    <t>T7 06/04/24 12:00</t>
  </si>
  <si>
    <t xml:space="preserve">T8 06/04/24 12:00 </t>
  </si>
  <si>
    <t xml:space="preserve">T9 06/04/24 12:00 </t>
  </si>
  <si>
    <t>T10 06/04/24 12:00</t>
  </si>
  <si>
    <t xml:space="preserve">T11 06/04/24 12:00 </t>
  </si>
  <si>
    <t xml:space="preserve">T12 06/04/24 12:00 </t>
  </si>
  <si>
    <t xml:space="preserve">T13 06/04/24 12:00 </t>
  </si>
  <si>
    <t>T14 06/04/24 12:00</t>
  </si>
  <si>
    <t xml:space="preserve">T15 06/04/24 12:00 </t>
  </si>
  <si>
    <t xml:space="preserve">T16 06/04/24 12:00 </t>
  </si>
  <si>
    <t xml:space="preserve">F1_IN 06/06/24 12:00 </t>
  </si>
  <si>
    <t xml:space="preserve">F2_IN 06/06/24 12:00 </t>
  </si>
  <si>
    <t xml:space="preserve">T1 06/06/24 12:00 </t>
  </si>
  <si>
    <t xml:space="preserve">T2 06/06/24 12:00 </t>
  </si>
  <si>
    <t xml:space="preserve">T3 06/06/24 12:00 </t>
  </si>
  <si>
    <t xml:space="preserve">T4 06/06/24 12:00 </t>
  </si>
  <si>
    <t xml:space="preserve">T5 06/06/24 12:00 </t>
  </si>
  <si>
    <t xml:space="preserve">T6 06/06/24 12:00 </t>
  </si>
  <si>
    <t xml:space="preserve">T7 06/06/24 12:00 </t>
  </si>
  <si>
    <t xml:space="preserve">T8 06/06/24 12:00 </t>
  </si>
  <si>
    <t xml:space="preserve">T9 06/06/24 12:00 </t>
  </si>
  <si>
    <t xml:space="preserve">T10 06/06/24 12:00 </t>
  </si>
  <si>
    <t>T11 06/06/24 12:00</t>
  </si>
  <si>
    <t xml:space="preserve">T12 06/06/24 12:00 </t>
  </si>
  <si>
    <t>T13 06/06/24 12:00</t>
  </si>
  <si>
    <t xml:space="preserve">T14 06/06/24 12:00 </t>
  </si>
  <si>
    <t xml:space="preserve">T15 06/06/24 12:00 </t>
  </si>
  <si>
    <t xml:space="preserve">T16 06/06/24 12:00 </t>
  </si>
  <si>
    <t xml:space="preserve">BAY 05/27/24 15:00 </t>
  </si>
  <si>
    <t xml:space="preserve">OCEAN 05/27/24 15:00 </t>
  </si>
  <si>
    <t xml:space="preserve">LAGOON 05/27/24 16:45 </t>
  </si>
  <si>
    <t>BAY 06/06/24 14:25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</si>
</sst>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1" xfId="0" applyFont="1" applyBorder="1"/>
    <xf numFmtId="0" fontId="0" fillId="0" borderId="1" xfId="0" applyBorder="1"/>
    <xf numFmtId="22" fontId="0" fillId="0" borderId="0" xfId="0" applyNumberForma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</cellXfs>
  <cellStyles count="2">
    <cellStyle name="Normal" xfId="0" builtinId="0"/>
    <cellStyle name="Normal 2" xfId="1" xr:uid="{52A5643C-4D13-40E3-871E-201215091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9</xdr:row>
      <xdr:rowOff>171450</xdr:rowOff>
    </xdr:to>
    <xdr:pic>
      <xdr:nvPicPr>
        <xdr:cNvPr id="7" name="Picture 1" descr="slab with text 3.jpg">
          <a:extLst>
            <a:ext uri="{FF2B5EF4-FFF2-40B4-BE49-F238E27FC236}">
              <a16:creationId xmlns:a16="http://schemas.microsoft.com/office/drawing/2014/main" id="{B57E4693-F9D9-45FF-B3DE-3C6CCB33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54" t="6238" r="17834" b="5814"/>
        <a:stretch>
          <a:fillRect/>
        </a:stretch>
      </xdr:blipFill>
      <xdr:spPr bwMode="auto">
        <a:xfrm>
          <a:off x="0" y="0"/>
          <a:ext cx="304800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BBCF-8AA1-4C61-9CB0-F1552C5D92F2}">
  <dimension ref="A1:G123"/>
  <sheetViews>
    <sheetView tabSelected="1" zoomScaleNormal="100" workbookViewId="0">
      <selection activeCell="E96" sqref="E96"/>
    </sheetView>
  </sheetViews>
  <sheetFormatPr defaultRowHeight="15" x14ac:dyDescent="0.25"/>
  <cols>
    <col min="1" max="1" width="32.5703125" bestFit="1" customWidth="1"/>
    <col min="2" max="2" width="15.42578125" bestFit="1" customWidth="1"/>
    <col min="3" max="3" width="12.140625" bestFit="1" customWidth="1"/>
    <col min="4" max="4" width="15.28515625" customWidth="1"/>
    <col min="5" max="5" width="32.5703125" bestFit="1" customWidth="1"/>
    <col min="6" max="6" width="20.85546875" customWidth="1"/>
    <col min="7" max="7" width="19.28515625" customWidth="1"/>
    <col min="8" max="8" width="11.85546875" bestFit="1" customWidth="1"/>
  </cols>
  <sheetData>
    <row r="1" spans="1:7" x14ac:dyDescent="0.25">
      <c r="C1" s="8" t="s">
        <v>18</v>
      </c>
    </row>
    <row r="2" spans="1:7" x14ac:dyDescent="0.25">
      <c r="C2" t="s">
        <v>19</v>
      </c>
    </row>
    <row r="3" spans="1:7" x14ac:dyDescent="0.25">
      <c r="C3" t="s">
        <v>20</v>
      </c>
    </row>
    <row r="4" spans="1:7" x14ac:dyDescent="0.25">
      <c r="C4" t="s">
        <v>21</v>
      </c>
    </row>
    <row r="5" spans="1:7" x14ac:dyDescent="0.25">
      <c r="C5" t="s">
        <v>22</v>
      </c>
    </row>
    <row r="6" spans="1:7" x14ac:dyDescent="0.25">
      <c r="C6" t="s">
        <v>23</v>
      </c>
    </row>
    <row r="7" spans="1:7" x14ac:dyDescent="0.25">
      <c r="C7" t="s">
        <v>24</v>
      </c>
    </row>
    <row r="9" spans="1:7" x14ac:dyDescent="0.25">
      <c r="C9" s="8" t="s">
        <v>25</v>
      </c>
      <c r="E9" s="13">
        <v>45575</v>
      </c>
    </row>
    <row r="10" spans="1:7" x14ac:dyDescent="0.25">
      <c r="C10" s="8"/>
    </row>
    <row r="11" spans="1:7" x14ac:dyDescent="0.25">
      <c r="C11" s="8" t="s">
        <v>26</v>
      </c>
      <c r="D11" t="s">
        <v>32</v>
      </c>
      <c r="F11" s="9"/>
    </row>
    <row r="13" spans="1:7" ht="15" customHeight="1" x14ac:dyDescent="0.25">
      <c r="A13" s="5" t="s">
        <v>12</v>
      </c>
      <c r="B13" s="5" t="s">
        <v>13</v>
      </c>
      <c r="C13" s="5" t="s">
        <v>14</v>
      </c>
      <c r="E13" s="5" t="s">
        <v>12</v>
      </c>
      <c r="F13" s="5" t="s">
        <v>15</v>
      </c>
      <c r="G13" s="5" t="s">
        <v>16</v>
      </c>
    </row>
    <row r="14" spans="1:7" x14ac:dyDescent="0.25">
      <c r="A14" s="6" t="str">
        <f>'Run File 11.14.24'!A17</f>
        <v xml:space="preserve">F1_IN 06/02/24 12:00 </v>
      </c>
      <c r="B14" s="16">
        <f>'Run File 11.14.24'!B17</f>
        <v>1.6666333333333334</v>
      </c>
      <c r="C14" s="16">
        <f>'Run File 11.14.24'!C17</f>
        <v>0.16419833333333328</v>
      </c>
      <c r="E14" s="11" t="str">
        <f>A14</f>
        <v xml:space="preserve">F1_IN 06/02/24 12:00 </v>
      </c>
      <c r="F14" s="12">
        <f>B14/12.0107*1000</f>
        <v>138.76238132109981</v>
      </c>
      <c r="G14" s="12">
        <f>C14/14.0067*1000</f>
        <v>11.72284216363121</v>
      </c>
    </row>
    <row r="15" spans="1:7" x14ac:dyDescent="0.25">
      <c r="A15" s="6" t="str">
        <f>'Run File 11.14.24'!A18</f>
        <v xml:space="preserve">F2_IN 06/02/24 12:00 </v>
      </c>
      <c r="B15" s="16">
        <f>'Run File 11.14.24'!B18</f>
        <v>1.7546333333333335</v>
      </c>
      <c r="C15" s="16">
        <f>'Run File 11.14.24'!C18</f>
        <v>0.16780833333333328</v>
      </c>
      <c r="E15" s="11" t="str">
        <f t="shared" ref="E15:E84" si="0">A15</f>
        <v xml:space="preserve">F2_IN 06/02/24 12:00 </v>
      </c>
      <c r="F15" s="12">
        <f t="shared" ref="F15:F84" si="1">B15/12.0107*1000</f>
        <v>146.08918159085925</v>
      </c>
      <c r="G15" s="12">
        <f t="shared" ref="G15:G84" si="2">C15/14.0067*1000</f>
        <v>11.98057596245606</v>
      </c>
    </row>
    <row r="16" spans="1:7" x14ac:dyDescent="0.25">
      <c r="A16" s="6" t="str">
        <f>'Run File 11.14.24'!A19</f>
        <v xml:space="preserve">T1 06/02/24 12:00 </v>
      </c>
      <c r="B16" s="16">
        <f>'Run File 11.14.24'!B19</f>
        <v>2.5886333333333331</v>
      </c>
      <c r="C16" s="16">
        <f>'Run File 11.14.24'!C19</f>
        <v>0.21105833333333329</v>
      </c>
      <c r="E16" s="11" t="str">
        <f t="shared" si="0"/>
        <v xml:space="preserve">T1 06/02/24 12:00 </v>
      </c>
      <c r="F16" s="12">
        <f t="shared" si="1"/>
        <v>215.52726596562508</v>
      </c>
      <c r="G16" s="12">
        <f t="shared" si="2"/>
        <v>15.068383940066774</v>
      </c>
    </row>
    <row r="17" spans="1:7" x14ac:dyDescent="0.25">
      <c r="A17" s="6" t="str">
        <f>'Run File 11.14.24'!A20</f>
        <v xml:space="preserve">T2 06/02/24 12:00 </v>
      </c>
      <c r="B17" s="16">
        <f>'Run File 11.14.24'!B20</f>
        <v>1.9146333333333332</v>
      </c>
      <c r="C17" s="16">
        <f>'Run File 11.14.24'!C20</f>
        <v>0.20005833333333328</v>
      </c>
      <c r="E17" s="11" t="str">
        <f t="shared" si="0"/>
        <v xml:space="preserve">T2 06/02/24 12:00 </v>
      </c>
      <c r="F17" s="12">
        <f t="shared" si="1"/>
        <v>159.41063662678556</v>
      </c>
      <c r="G17" s="12">
        <f t="shared" si="2"/>
        <v>14.283045494894106</v>
      </c>
    </row>
    <row r="18" spans="1:7" x14ac:dyDescent="0.25">
      <c r="A18" s="6" t="str">
        <f>'Run File 11.14.24'!A21</f>
        <v xml:space="preserve">T3 06/02/24 12:00 </v>
      </c>
      <c r="B18" s="16">
        <f>'Run File 11.14.24'!B21</f>
        <v>2.4946333333333333</v>
      </c>
      <c r="C18" s="16">
        <f>'Run File 11.14.24'!C21</f>
        <v>0.36035833333333328</v>
      </c>
      <c r="E18" s="11" t="str">
        <f t="shared" si="0"/>
        <v xml:space="preserve">T3 06/02/24 12:00 </v>
      </c>
      <c r="F18" s="12">
        <f t="shared" si="1"/>
        <v>207.70091113201838</v>
      </c>
      <c r="G18" s="12">
        <f t="shared" si="2"/>
        <v>25.727568473183069</v>
      </c>
    </row>
    <row r="19" spans="1:7" x14ac:dyDescent="0.25">
      <c r="A19" s="6" t="str">
        <f>'Run File 11.14.24'!A22</f>
        <v xml:space="preserve">T4 06/02/24 12:00 </v>
      </c>
      <c r="B19" s="16">
        <f>'Run File 11.14.24'!B22</f>
        <v>3.1026333333333334</v>
      </c>
      <c r="C19" s="16">
        <f>'Run File 11.14.24'!C22</f>
        <v>0.20285833333333331</v>
      </c>
      <c r="E19" s="11" t="str">
        <f t="shared" si="0"/>
        <v xml:space="preserve">T4 06/02/24 12:00 </v>
      </c>
      <c r="F19" s="12">
        <f t="shared" si="1"/>
        <v>258.32244026853834</v>
      </c>
      <c r="G19" s="12">
        <f t="shared" si="2"/>
        <v>14.482949826392606</v>
      </c>
    </row>
    <row r="20" spans="1:7" x14ac:dyDescent="0.25">
      <c r="A20" s="6" t="str">
        <f>'Run File 11.14.24'!A23</f>
        <v xml:space="preserve">T5 06/02/24 12:00 </v>
      </c>
      <c r="B20" s="16">
        <f>'Run File 11.14.24'!B23</f>
        <v>1.7076333333333333</v>
      </c>
      <c r="C20" s="16">
        <f>'Run File 11.14.24'!C23</f>
        <v>0.1860583333333333</v>
      </c>
      <c r="E20" s="11" t="str">
        <f t="shared" si="0"/>
        <v xml:space="preserve">T5 06/02/24 12:00 </v>
      </c>
      <c r="F20" s="12">
        <f t="shared" si="1"/>
        <v>142.17600417405589</v>
      </c>
      <c r="G20" s="12">
        <f t="shared" si="2"/>
        <v>13.283523837401622</v>
      </c>
    </row>
    <row r="21" spans="1:7" x14ac:dyDescent="0.25">
      <c r="A21" s="6" t="str">
        <f>'Run File 11.14.24'!A24</f>
        <v xml:space="preserve">T6 06/02/24 12:00 </v>
      </c>
      <c r="B21" s="16">
        <f>'Run File 11.14.24'!B24</f>
        <v>2.2096333333333331</v>
      </c>
      <c r="C21" s="16">
        <f>'Run File 11.14.24'!C24</f>
        <v>0.27075833333333332</v>
      </c>
      <c r="E21" s="11" t="str">
        <f t="shared" si="0"/>
        <v xml:space="preserve">T6 06/02/24 12:00 </v>
      </c>
      <c r="F21" s="12">
        <f t="shared" si="1"/>
        <v>183.97206934927465</v>
      </c>
      <c r="G21" s="12">
        <f t="shared" si="2"/>
        <v>19.330629865231163</v>
      </c>
    </row>
    <row r="22" spans="1:7" x14ac:dyDescent="0.25">
      <c r="A22" s="6" t="str">
        <f>'Run File 11.14.24'!A28</f>
        <v xml:space="preserve">T7 06/02/24 12:00 </v>
      </c>
      <c r="B22" s="16">
        <f>'Run File 11.14.24'!B28</f>
        <v>1.7666333333333335</v>
      </c>
      <c r="C22" s="16">
        <f>'Run File 11.14.24'!C28</f>
        <v>0.1943583333333333</v>
      </c>
      <c r="E22" s="11" t="str">
        <f t="shared" si="0"/>
        <v xml:space="preserve">T7 06/02/24 12:00 </v>
      </c>
      <c r="F22" s="12">
        <f t="shared" si="1"/>
        <v>147.08829071855376</v>
      </c>
      <c r="G22" s="12">
        <f t="shared" si="2"/>
        <v>13.876097391486454</v>
      </c>
    </row>
    <row r="23" spans="1:7" x14ac:dyDescent="0.25">
      <c r="A23" s="6" t="str">
        <f>'Run File 11.14.24'!A29</f>
        <v xml:space="preserve">T8 06/02/24 12:00 </v>
      </c>
      <c r="B23" s="16">
        <f>'Run File 11.14.24'!B29</f>
        <v>1.6506333333333334</v>
      </c>
      <c r="C23" s="16">
        <f>'Run File 11.14.24'!C29</f>
        <v>0.18945833333333328</v>
      </c>
      <c r="E23" s="11" t="str">
        <f t="shared" si="0"/>
        <v xml:space="preserve">T8 06/02/24 12:00 </v>
      </c>
      <c r="F23" s="12">
        <f t="shared" si="1"/>
        <v>137.4302358175072</v>
      </c>
      <c r="G23" s="12">
        <f t="shared" si="2"/>
        <v>13.526264811364081</v>
      </c>
    </row>
    <row r="24" spans="1:7" x14ac:dyDescent="0.25">
      <c r="A24" s="6" t="str">
        <f>'Run File 11.14.24'!A30</f>
        <v xml:space="preserve">T9 06/02/24 12:00 </v>
      </c>
      <c r="B24" s="16">
        <f>'Run File 11.14.24'!B30</f>
        <v>1.7396333333333334</v>
      </c>
      <c r="C24" s="16">
        <f>'Run File 11.14.24'!C30</f>
        <v>0.1759883333333333</v>
      </c>
      <c r="E24" s="11" t="str">
        <f t="shared" si="0"/>
        <v xml:space="preserve">T9 06/02/24 12:00 </v>
      </c>
      <c r="F24" s="12">
        <f t="shared" si="1"/>
        <v>144.84029518124117</v>
      </c>
      <c r="G24" s="12">
        <f t="shared" si="2"/>
        <v>12.564582188048098</v>
      </c>
    </row>
    <row r="25" spans="1:7" x14ac:dyDescent="0.25">
      <c r="A25" s="6" t="str">
        <f>'Run File 11.14.24'!A31</f>
        <v xml:space="preserve">T10 06/02/24 12:00 </v>
      </c>
      <c r="B25" s="16">
        <f>'Run File 11.14.24'!B31</f>
        <v>2.1946333333333334</v>
      </c>
      <c r="C25" s="16">
        <f>'Run File 11.14.24'!C31</f>
        <v>0.31915833333333332</v>
      </c>
      <c r="E25" s="11" t="str">
        <f t="shared" si="0"/>
        <v xml:space="preserve">T10 06/02/24 12:00 </v>
      </c>
      <c r="F25" s="12">
        <f t="shared" si="1"/>
        <v>182.7231829396566</v>
      </c>
      <c r="G25" s="12">
        <f t="shared" si="2"/>
        <v>22.786119023990896</v>
      </c>
    </row>
    <row r="26" spans="1:7" x14ac:dyDescent="0.25">
      <c r="A26" s="6" t="str">
        <f>'Run File 11.14.24'!A32</f>
        <v xml:space="preserve">T11 06/02/24 12:00 </v>
      </c>
      <c r="B26" s="16">
        <f>'Run File 11.14.24'!B32</f>
        <v>1.5456333333333334</v>
      </c>
      <c r="C26" s="16">
        <f>'Run File 11.14.24'!C32</f>
        <v>0.19555833333333328</v>
      </c>
      <c r="E26" s="11" t="str">
        <f t="shared" si="0"/>
        <v xml:space="preserve">T11 06/02/24 12:00 </v>
      </c>
      <c r="F26" s="12">
        <f t="shared" si="1"/>
        <v>128.68803095018055</v>
      </c>
      <c r="G26" s="12">
        <f t="shared" si="2"/>
        <v>13.961770676414378</v>
      </c>
    </row>
    <row r="27" spans="1:7" x14ac:dyDescent="0.25">
      <c r="A27" s="6" t="str">
        <f>'Run File 11.14.24'!A33</f>
        <v xml:space="preserve">T12 06/02/24 12:00 </v>
      </c>
      <c r="B27" s="16">
        <f>'Run File 11.14.24'!B33</f>
        <v>1.8316333333333334</v>
      </c>
      <c r="C27" s="16">
        <f>'Run File 11.14.24'!C33</f>
        <v>0.2422583333333333</v>
      </c>
      <c r="E27" s="11" t="str">
        <f t="shared" si="0"/>
        <v xml:space="preserve">T12 06/02/24 12:00 </v>
      </c>
      <c r="F27" s="12">
        <f t="shared" si="1"/>
        <v>152.50013182689881</v>
      </c>
      <c r="G27" s="12">
        <f t="shared" si="2"/>
        <v>17.295889348192887</v>
      </c>
    </row>
    <row r="28" spans="1:7" x14ac:dyDescent="0.25">
      <c r="A28" s="6" t="str">
        <f>'Run File 11.14.24'!A34</f>
        <v xml:space="preserve">T13 06/02/24 12:00 </v>
      </c>
      <c r="B28" s="16">
        <f>'Run File 11.14.24'!B34</f>
        <v>1.7776333333333332</v>
      </c>
      <c r="C28" s="16">
        <f>'Run File 11.14.24'!C34</f>
        <v>0.19555833333333328</v>
      </c>
      <c r="E28" s="11" t="str">
        <f t="shared" si="0"/>
        <v xml:space="preserve">T13 06/02/24 12:00 </v>
      </c>
      <c r="F28" s="12">
        <f t="shared" si="1"/>
        <v>148.00414075227366</v>
      </c>
      <c r="G28" s="12">
        <f t="shared" si="2"/>
        <v>13.961770676414378</v>
      </c>
    </row>
    <row r="29" spans="1:7" x14ac:dyDescent="0.25">
      <c r="A29" s="6" t="str">
        <f>'Run File 11.19.24'!A17</f>
        <v xml:space="preserve">T14 06/02/24 12:00 </v>
      </c>
      <c r="B29" s="16">
        <f>'Run File 11.19.24'!B17</f>
        <v>1.6704000000000001</v>
      </c>
      <c r="C29" s="16">
        <f>'Run File 11.19.24'!C17</f>
        <v>0.15783999999999998</v>
      </c>
      <c r="E29" s="11" t="str">
        <f t="shared" si="0"/>
        <v xml:space="preserve">T14 06/02/24 12:00 </v>
      </c>
      <c r="F29" s="12">
        <f t="shared" si="1"/>
        <v>139.07599057507059</v>
      </c>
      <c r="G29" s="12">
        <f t="shared" si="2"/>
        <v>11.26889274418671</v>
      </c>
    </row>
    <row r="30" spans="1:7" x14ac:dyDescent="0.25">
      <c r="A30" s="6" t="str">
        <f>'Run File 11.19.24'!A18</f>
        <v xml:space="preserve">T15 06/02/24 12:00 </v>
      </c>
      <c r="B30" s="16">
        <f>'Run File 11.19.24'!B18</f>
        <v>1.5953999999999999</v>
      </c>
      <c r="C30" s="16">
        <f>'Run File 11.19.24'!C18</f>
        <v>0.15939999999999996</v>
      </c>
      <c r="E30" s="11" t="str">
        <f t="shared" si="0"/>
        <v xml:space="preserve">T15 06/02/24 12:00 </v>
      </c>
      <c r="F30" s="12">
        <f t="shared" si="1"/>
        <v>132.8315585269801</v>
      </c>
      <c r="G30" s="12">
        <f t="shared" si="2"/>
        <v>11.380268014593014</v>
      </c>
    </row>
    <row r="31" spans="1:7" x14ac:dyDescent="0.25">
      <c r="A31" s="6" t="str">
        <f>'Run File 11.19.24'!A19</f>
        <v xml:space="preserve">T16 06/02/24 12:00 </v>
      </c>
      <c r="B31" s="16">
        <f>'Run File 11.19.24'!B19</f>
        <v>1.6824000000000001</v>
      </c>
      <c r="C31" s="16">
        <f>'Run File 11.19.24'!C19</f>
        <v>0.17691999999999997</v>
      </c>
      <c r="E31" s="11" t="str">
        <f t="shared" si="0"/>
        <v xml:space="preserve">T16 06/02/24 12:00 </v>
      </c>
      <c r="F31" s="12">
        <f t="shared" si="1"/>
        <v>140.07509970276504</v>
      </c>
      <c r="G31" s="12">
        <f t="shared" si="2"/>
        <v>12.631097974540753</v>
      </c>
    </row>
    <row r="32" spans="1:7" x14ac:dyDescent="0.25">
      <c r="A32" s="6" t="str">
        <f>'Run File 11.19.24'!A20</f>
        <v xml:space="preserve">F1_IN 06/02/24 18:00 </v>
      </c>
      <c r="B32" s="16">
        <f>'Run File 11.19.24'!B20</f>
        <v>1.3573999999999999</v>
      </c>
      <c r="C32" s="16">
        <f>'Run File 11.19.24'!C20</f>
        <v>0.22561999999999996</v>
      </c>
      <c r="E32" s="11" t="str">
        <f t="shared" si="0"/>
        <v xml:space="preserve">F1_IN 06/02/24 18:00 </v>
      </c>
      <c r="F32" s="12">
        <f t="shared" si="1"/>
        <v>113.01589416103972</v>
      </c>
      <c r="G32" s="12">
        <f t="shared" si="2"/>
        <v>16.108005454532467</v>
      </c>
    </row>
    <row r="33" spans="1:7" x14ac:dyDescent="0.25">
      <c r="A33" s="6" t="str">
        <f>'Run File 11.19.24'!A21</f>
        <v xml:space="preserve">F2_IN 06/02/24 18:00 </v>
      </c>
      <c r="B33" s="16">
        <f>'Run File 11.19.24'!B21</f>
        <v>1.2484</v>
      </c>
      <c r="C33" s="16">
        <f>'Run File 11.19.24'!C21</f>
        <v>0.15195999999999996</v>
      </c>
      <c r="E33" s="11" t="str">
        <f t="shared" si="0"/>
        <v xml:space="preserve">F2_IN 06/02/24 18:00 </v>
      </c>
      <c r="F33" s="12">
        <f t="shared" si="1"/>
        <v>103.94065291781494</v>
      </c>
      <c r="G33" s="12">
        <f t="shared" si="2"/>
        <v>10.849093648039863</v>
      </c>
    </row>
    <row r="34" spans="1:7" x14ac:dyDescent="0.25">
      <c r="A34" s="6" t="str">
        <f>'Run File 11.19.24'!A22</f>
        <v xml:space="preserve">T1 06/02/24 18:00 </v>
      </c>
      <c r="B34" s="16">
        <f>'Run File 11.19.24'!B22</f>
        <v>1.4204000000000001</v>
      </c>
      <c r="C34" s="16">
        <f>'Run File 11.19.24'!C22</f>
        <v>0.15566999999999998</v>
      </c>
      <c r="E34" s="11" t="str">
        <f t="shared" si="0"/>
        <v xml:space="preserve">T1 06/02/24 18:00 </v>
      </c>
      <c r="F34" s="12">
        <f t="shared" si="1"/>
        <v>118.26121708143573</v>
      </c>
      <c r="G34" s="12">
        <f t="shared" si="2"/>
        <v>11.113966887275375</v>
      </c>
    </row>
    <row r="35" spans="1:7" x14ac:dyDescent="0.25">
      <c r="A35" s="6" t="str">
        <f>'Run File 11.19.24'!A23</f>
        <v xml:space="preserve">T2 06/02/24 18:00 </v>
      </c>
      <c r="B35" s="16">
        <f>'Run File 11.19.24'!B23</f>
        <v>1.2714000000000001</v>
      </c>
      <c r="C35" s="16">
        <f>'Run File 11.19.24'!C23</f>
        <v>0.15448999999999996</v>
      </c>
      <c r="E35" s="11" t="str">
        <f t="shared" si="0"/>
        <v xml:space="preserve">T2 06/02/24 18:00 </v>
      </c>
      <c r="F35" s="12">
        <f t="shared" si="1"/>
        <v>105.85561207922936</v>
      </c>
      <c r="G35" s="12">
        <f t="shared" si="2"/>
        <v>11.029721490429576</v>
      </c>
    </row>
    <row r="36" spans="1:7" x14ac:dyDescent="0.25">
      <c r="A36" s="6" t="str">
        <f>'Run File 11.19.24'!A27</f>
        <v xml:space="preserve">T3 06/02/24 18:00 </v>
      </c>
      <c r="B36" s="16">
        <f>'Run File 11.19.24'!B27</f>
        <v>1.2043999999999999</v>
      </c>
      <c r="C36" s="16">
        <f>'Run File 11.19.24'!C27</f>
        <v>0.16681999999999997</v>
      </c>
      <c r="E36" s="11" t="str">
        <f t="shared" si="0"/>
        <v xml:space="preserve">T3 06/02/24 18:00 </v>
      </c>
      <c r="F36" s="12">
        <f t="shared" si="1"/>
        <v>100.27725278293521</v>
      </c>
      <c r="G36" s="12">
        <f t="shared" si="2"/>
        <v>11.910014493064031</v>
      </c>
    </row>
    <row r="37" spans="1:7" x14ac:dyDescent="0.25">
      <c r="A37" s="6" t="str">
        <f>'Run File 11.19.24'!A28</f>
        <v xml:space="preserve">T4 06/02/24 18:00 </v>
      </c>
      <c r="B37" s="16">
        <f>'Run File 11.19.24'!B28</f>
        <v>1.5374000000000001</v>
      </c>
      <c r="C37" s="16">
        <f>'Run File 11.19.24'!C28</f>
        <v>0.15007999999999996</v>
      </c>
      <c r="E37" s="11" t="str">
        <f t="shared" si="0"/>
        <v xml:space="preserve">T4 06/02/24 18:00 </v>
      </c>
      <c r="F37" s="12">
        <f t="shared" si="1"/>
        <v>128.00253107645685</v>
      </c>
      <c r="G37" s="12">
        <f t="shared" si="2"/>
        <v>10.714872168319443</v>
      </c>
    </row>
    <row r="38" spans="1:7" x14ac:dyDescent="0.25">
      <c r="A38" s="6" t="str">
        <f>'Run File 11.19.24'!A29</f>
        <v xml:space="preserve">T5 06/02/24 18:00 </v>
      </c>
      <c r="B38" s="16">
        <f>'Run File 11.19.24'!B29</f>
        <v>1.2934000000000001</v>
      </c>
      <c r="C38" s="16">
        <f>'Run File 11.19.24'!C29</f>
        <v>0.15910999999999997</v>
      </c>
      <c r="E38" s="11" t="str">
        <f t="shared" si="0"/>
        <v xml:space="preserve">T5 06/02/24 18:00 </v>
      </c>
      <c r="F38" s="12">
        <f t="shared" si="1"/>
        <v>107.68731214666923</v>
      </c>
      <c r="G38" s="12">
        <f t="shared" si="2"/>
        <v>11.359563637402097</v>
      </c>
    </row>
    <row r="39" spans="1:7" x14ac:dyDescent="0.25">
      <c r="A39" s="6" t="str">
        <f>'Run File 11.19.24'!A30</f>
        <v>T6 06/02/24 18:00</v>
      </c>
      <c r="B39" s="16">
        <f>'Run File 11.19.24'!B30</f>
        <v>1.5464</v>
      </c>
      <c r="C39" s="16">
        <f>'Run File 11.19.24'!C30</f>
        <v>0.22191999999999995</v>
      </c>
      <c r="E39" s="11" t="str">
        <f t="shared" si="0"/>
        <v>T6 06/02/24 18:00</v>
      </c>
      <c r="F39" s="12">
        <f t="shared" si="1"/>
        <v>128.75186292222767</v>
      </c>
      <c r="G39" s="12">
        <f t="shared" si="2"/>
        <v>15.843846159338026</v>
      </c>
    </row>
    <row r="40" spans="1:7" x14ac:dyDescent="0.25">
      <c r="A40" s="6" t="str">
        <f>'Run File 11.19.24'!A31</f>
        <v xml:space="preserve">T7 06/02/24 18:00 </v>
      </c>
      <c r="B40" s="16">
        <f>'Run File 11.19.24'!B31</f>
        <v>1.3214000000000001</v>
      </c>
      <c r="C40" s="16">
        <f>'Run File 11.19.24'!C31</f>
        <v>0.16376999999999997</v>
      </c>
      <c r="E40" s="11" t="str">
        <f t="shared" si="0"/>
        <v xml:space="preserve">T7 06/02/24 18:00 </v>
      </c>
      <c r="F40" s="12">
        <f t="shared" si="1"/>
        <v>110.01856677795634</v>
      </c>
      <c r="G40" s="12">
        <f t="shared" si="2"/>
        <v>11.692261560538883</v>
      </c>
    </row>
    <row r="41" spans="1:7" x14ac:dyDescent="0.25">
      <c r="A41" s="6" t="str">
        <f>'Run File 11.19.24'!A32</f>
        <v xml:space="preserve">T8 06/02/24 18:00 </v>
      </c>
      <c r="B41" s="16">
        <f>'Run File 11.19.24'!B32</f>
        <v>5.1504000000000003</v>
      </c>
      <c r="C41" s="16">
        <f>'Run File 11.19.24'!C32</f>
        <v>0.16904999999999998</v>
      </c>
      <c r="E41" s="11" t="str">
        <f t="shared" si="0"/>
        <v xml:space="preserve">T8 06/02/24 18:00 </v>
      </c>
      <c r="F41" s="12">
        <f t="shared" si="1"/>
        <v>428.8176376064676</v>
      </c>
      <c r="G41" s="12">
        <f t="shared" si="2"/>
        <v>12.069224014221762</v>
      </c>
    </row>
    <row r="42" spans="1:7" x14ac:dyDescent="0.25">
      <c r="A42" s="6" t="str">
        <f>'Run File 11.19.24'!A33</f>
        <v>T9 06/02/24 18:00</v>
      </c>
      <c r="B42" s="16">
        <f>'Run File 11.19.24'!B33</f>
        <v>1.6884000000000001</v>
      </c>
      <c r="C42" s="16">
        <f>'Run File 11.19.24'!C33</f>
        <v>0.31971999999999995</v>
      </c>
      <c r="E42" s="11" t="str">
        <f t="shared" si="0"/>
        <v>T9 06/02/24 18:00</v>
      </c>
      <c r="F42" s="12">
        <f t="shared" si="1"/>
        <v>140.57465426661227</v>
      </c>
      <c r="G42" s="12">
        <f t="shared" si="2"/>
        <v>22.826218880964106</v>
      </c>
    </row>
    <row r="43" spans="1:7" x14ac:dyDescent="0.25">
      <c r="A43" s="6" t="str">
        <f>'Run File 11.19.24'!A34</f>
        <v xml:space="preserve">T10 06/02/24 18:00 </v>
      </c>
      <c r="B43" s="16">
        <f>'Run File 11.19.24'!B34</f>
        <v>1.4823999999999999</v>
      </c>
      <c r="C43" s="16">
        <f>'Run File 11.19.24'!C34</f>
        <v>0.24721999999999997</v>
      </c>
      <c r="E43" s="11" t="str">
        <f t="shared" si="0"/>
        <v xml:space="preserve">T10 06/02/24 18:00 </v>
      </c>
      <c r="F43" s="12">
        <f t="shared" si="1"/>
        <v>123.42328090785716</v>
      </c>
      <c r="G43" s="12">
        <f t="shared" si="2"/>
        <v>17.650124583235165</v>
      </c>
    </row>
    <row r="44" spans="1:7" x14ac:dyDescent="0.25">
      <c r="A44" s="6" t="str">
        <f>'Run File 11.19.24'!A35</f>
        <v xml:space="preserve">T11 06/02/24 18:00 </v>
      </c>
      <c r="B44" s="16">
        <f>'Run File 11.19.24'!B35</f>
        <v>4.6584000000000003</v>
      </c>
      <c r="C44" s="16">
        <f>'Run File 11.19.24'!C35</f>
        <v>0.23021999999999995</v>
      </c>
      <c r="E44" s="11" t="str">
        <f t="shared" si="0"/>
        <v xml:space="preserve">T11 06/02/24 18:00 </v>
      </c>
      <c r="F44" s="12">
        <f t="shared" si="1"/>
        <v>387.85416337099423</v>
      </c>
      <c r="G44" s="12">
        <f t="shared" si="2"/>
        <v>16.436419713422861</v>
      </c>
    </row>
    <row r="45" spans="1:7" x14ac:dyDescent="0.25">
      <c r="A45" s="6" t="str">
        <f>'Run File 11.19.24'!A36</f>
        <v xml:space="preserve">T12 06/02/24 18:00 </v>
      </c>
      <c r="B45" s="16">
        <f>'Run File 11.19.24'!B36</f>
        <v>1.4794</v>
      </c>
      <c r="C45" s="16">
        <f>'Run File 11.19.24'!C36</f>
        <v>0.21691999999999997</v>
      </c>
      <c r="E45" s="11" t="str">
        <f t="shared" si="0"/>
        <v xml:space="preserve">T12 06/02/24 18:00 </v>
      </c>
      <c r="F45" s="12">
        <f t="shared" si="1"/>
        <v>123.17350362593355</v>
      </c>
      <c r="G45" s="12">
        <f t="shared" si="2"/>
        <v>15.486874138804998</v>
      </c>
    </row>
    <row r="46" spans="1:7" x14ac:dyDescent="0.25">
      <c r="A46" s="6" t="str">
        <f>'Run File 11.19.24'!A40</f>
        <v xml:space="preserve">T13 06/02/24 18:00 </v>
      </c>
      <c r="B46" s="16">
        <f>'Run File 11.19.24'!B40</f>
        <v>1.5764</v>
      </c>
      <c r="C46" s="16">
        <f>'Run File 11.19.24'!C40</f>
        <v>0.21841999999999995</v>
      </c>
      <c r="E46" s="11" t="str">
        <f t="shared" si="0"/>
        <v xml:space="preserve">T13 06/02/24 18:00 </v>
      </c>
      <c r="F46" s="12">
        <f t="shared" si="1"/>
        <v>131.24963574146386</v>
      </c>
      <c r="G46" s="12">
        <f t="shared" si="2"/>
        <v>15.593965744964905</v>
      </c>
    </row>
    <row r="47" spans="1:7" x14ac:dyDescent="0.25">
      <c r="A47" s="6" t="str">
        <f>'Run File 11.19.24'!A41</f>
        <v>T14 06/02/24 18:00</v>
      </c>
      <c r="B47" s="16">
        <f>'Run File 11.19.24'!B41</f>
        <v>1.2354000000000001</v>
      </c>
      <c r="C47" s="16">
        <f>'Run File 11.19.24'!C41</f>
        <v>0.16450999999999996</v>
      </c>
      <c r="E47" s="11" t="str">
        <f t="shared" si="0"/>
        <v>T14 06/02/24 18:00</v>
      </c>
      <c r="F47" s="12">
        <f t="shared" si="1"/>
        <v>102.85828469614594</v>
      </c>
      <c r="G47" s="12">
        <f t="shared" si="2"/>
        <v>11.745093419577771</v>
      </c>
    </row>
    <row r="48" spans="1:7" x14ac:dyDescent="0.25">
      <c r="A48" s="6" t="str">
        <f>'Run File 11.19.24'!A42</f>
        <v xml:space="preserve">T15 06/02/24 18:00 </v>
      </c>
      <c r="B48" s="16">
        <f>'Run File 11.19.24'!B42</f>
        <v>1.5494000000000001</v>
      </c>
      <c r="C48" s="16">
        <f>'Run File 11.19.24'!C42</f>
        <v>0.25381999999999993</v>
      </c>
      <c r="E48" s="11" t="str">
        <f t="shared" si="0"/>
        <v xml:space="preserve">T15 06/02/24 18:00 </v>
      </c>
      <c r="F48" s="12">
        <f t="shared" si="1"/>
        <v>129.0016402041513</v>
      </c>
      <c r="G48" s="12">
        <f t="shared" si="2"/>
        <v>18.121327650338763</v>
      </c>
    </row>
    <row r="49" spans="1:7" x14ac:dyDescent="0.25">
      <c r="A49" s="6" t="str">
        <f>'Run File 11.19.24'!A43</f>
        <v xml:space="preserve">T16 06/02/24 18:00 </v>
      </c>
      <c r="B49" s="16">
        <f>'Run File 11.19.24'!B43</f>
        <v>1.6133999999999999</v>
      </c>
      <c r="C49" s="16">
        <f>'Run File 11.19.24'!C43</f>
        <v>0.28201999999999994</v>
      </c>
      <c r="E49" s="11" t="str">
        <f t="shared" si="0"/>
        <v xml:space="preserve">T16 06/02/24 18:00 </v>
      </c>
      <c r="F49" s="12">
        <f t="shared" si="1"/>
        <v>134.33022221852181</v>
      </c>
      <c r="G49" s="12">
        <f t="shared" si="2"/>
        <v>20.134649846145056</v>
      </c>
    </row>
    <row r="50" spans="1:7" x14ac:dyDescent="0.25">
      <c r="A50" s="6" t="str">
        <f>'Run File 11.19.24'!A44</f>
        <v xml:space="preserve">F1_IN 06/03/24 0:00 </v>
      </c>
      <c r="B50" s="16">
        <f>'Run File 11.19.24'!B44</f>
        <v>3.8264</v>
      </c>
      <c r="C50" s="16">
        <f>'Run File 11.19.24'!C44</f>
        <v>0.16383999999999996</v>
      </c>
      <c r="E50" s="11" t="str">
        <f t="shared" ref="E50:E59" si="3">A50</f>
        <v xml:space="preserve">F1_IN 06/03/24 0:00 </v>
      </c>
      <c r="F50" s="12">
        <f t="shared" ref="F50:F59" si="4">B50/12.0107*1000</f>
        <v>318.58259718417742</v>
      </c>
      <c r="G50" s="12">
        <f t="shared" ref="G50:G59" si="5">C50/14.0067*1000</f>
        <v>11.697259168826344</v>
      </c>
    </row>
    <row r="51" spans="1:7" x14ac:dyDescent="0.25">
      <c r="A51" s="6" t="str">
        <f>'Run File 11.19.24'!A45</f>
        <v xml:space="preserve">F2_IN 06/03/24 0:00 </v>
      </c>
      <c r="B51" s="16">
        <f>'Run File 11.19.24'!B45</f>
        <v>3.8683999999999998</v>
      </c>
      <c r="C51" s="16">
        <f>'Run File 11.19.24'!C45</f>
        <v>0.15446999999999994</v>
      </c>
      <c r="E51" s="11" t="str">
        <f t="shared" si="3"/>
        <v xml:space="preserve">F2_IN 06/03/24 0:00 </v>
      </c>
      <c r="F51" s="12">
        <f t="shared" si="4"/>
        <v>322.07947913110809</v>
      </c>
      <c r="G51" s="12">
        <f t="shared" si="5"/>
        <v>11.028293602347444</v>
      </c>
    </row>
    <row r="52" spans="1:7" x14ac:dyDescent="0.25">
      <c r="A52" s="6" t="str">
        <f>'Run File 11.19.24'!A46</f>
        <v xml:space="preserve">T1 06/03/24 0:00 </v>
      </c>
      <c r="B52" s="16">
        <f>'Run File 11.19.24'!B46</f>
        <v>1.8994</v>
      </c>
      <c r="C52" s="16">
        <f>'Run File 11.19.24'!C46</f>
        <v>0.28341999999999995</v>
      </c>
      <c r="E52" s="11" t="str">
        <f t="shared" si="3"/>
        <v xml:space="preserve">T1 06/03/24 0:00 </v>
      </c>
      <c r="F52" s="12">
        <f t="shared" si="4"/>
        <v>158.14232309524007</v>
      </c>
      <c r="G52" s="12">
        <f t="shared" si="5"/>
        <v>20.234602011894303</v>
      </c>
    </row>
    <row r="53" spans="1:7" x14ac:dyDescent="0.25">
      <c r="A53" s="6" t="str">
        <f>'Run File 11.19.24'!A47</f>
        <v xml:space="preserve">T2 06/03/24 0:00 </v>
      </c>
      <c r="B53" s="16">
        <f>'Run File 11.19.24'!B47</f>
        <v>4.2644000000000002</v>
      </c>
      <c r="C53" s="16">
        <f>'Run File 11.19.24'!C47</f>
        <v>0.16919999999999996</v>
      </c>
      <c r="E53" s="11" t="str">
        <f t="shared" si="3"/>
        <v xml:space="preserve">T2 06/03/24 0:00 </v>
      </c>
      <c r="F53" s="12">
        <f t="shared" si="4"/>
        <v>355.05008034502572</v>
      </c>
      <c r="G53" s="12">
        <f t="shared" si="5"/>
        <v>12.079933174837754</v>
      </c>
    </row>
    <row r="54" spans="1:7" x14ac:dyDescent="0.25">
      <c r="A54" s="6" t="str">
        <f>'Run File 11.19.24'!A48</f>
        <v xml:space="preserve">T3 06/03/24 0:00 </v>
      </c>
      <c r="B54" s="16">
        <f>'Run File 11.19.24'!B48</f>
        <v>4.0453999999999999</v>
      </c>
      <c r="C54" s="16">
        <f>'Run File 11.19.24'!C48</f>
        <v>0.18141999999999997</v>
      </c>
      <c r="E54" s="11" t="str">
        <f t="shared" si="3"/>
        <v xml:space="preserve">T3 06/03/24 0:00 </v>
      </c>
      <c r="F54" s="12">
        <f t="shared" si="4"/>
        <v>336.81633876460154</v>
      </c>
      <c r="G54" s="12">
        <f t="shared" si="5"/>
        <v>12.952372793020482</v>
      </c>
    </row>
    <row r="55" spans="1:7" x14ac:dyDescent="0.25">
      <c r="A55" s="6" t="str">
        <f>'Run File 11.19.24'!A49</f>
        <v xml:space="preserve">T4 06/03/24 0:00 </v>
      </c>
      <c r="B55" s="16">
        <f>'Run File 11.19.24'!B49</f>
        <v>1.3054000000000001</v>
      </c>
      <c r="C55" s="16">
        <f>'Run File 11.19.24'!C49</f>
        <v>0.14249999999999996</v>
      </c>
      <c r="E55" s="11" t="str">
        <f t="shared" si="3"/>
        <v xml:space="preserve">T4 06/03/24 0:00 </v>
      </c>
      <c r="F55" s="12">
        <f t="shared" si="4"/>
        <v>108.68642127436371</v>
      </c>
      <c r="G55" s="12">
        <f t="shared" si="5"/>
        <v>10.17370258519137</v>
      </c>
    </row>
    <row r="56" spans="1:7" x14ac:dyDescent="0.25">
      <c r="A56" s="6" t="str">
        <f>'Run File 11.19.24'!A53</f>
        <v xml:space="preserve">T5 06/03/24 0:00 </v>
      </c>
      <c r="B56" s="16">
        <f>'Run File 11.19.24'!B53</f>
        <v>3.7404000000000002</v>
      </c>
      <c r="C56" s="16">
        <f>'Run File 11.19.24'!C53</f>
        <v>0.15830999999999995</v>
      </c>
      <c r="E56" s="11" t="str">
        <f t="shared" si="3"/>
        <v xml:space="preserve">T5 06/03/24 0:00 </v>
      </c>
      <c r="F56" s="12">
        <f t="shared" si="4"/>
        <v>311.42231510236707</v>
      </c>
      <c r="G56" s="12">
        <f t="shared" si="5"/>
        <v>11.30244811411681</v>
      </c>
    </row>
    <row r="57" spans="1:7" x14ac:dyDescent="0.25">
      <c r="A57" s="6" t="str">
        <f>'Run File 11.19.24'!A54</f>
        <v xml:space="preserve">T6 06/03/24 0:00 </v>
      </c>
      <c r="B57" s="16">
        <f>'Run File 11.19.24'!B54</f>
        <v>1.1394</v>
      </c>
      <c r="C57" s="16">
        <f>'Run File 11.19.24'!C54</f>
        <v>0.14534999999999998</v>
      </c>
      <c r="E57" s="11" t="str">
        <f t="shared" si="3"/>
        <v xml:space="preserve">T6 06/03/24 0:00 </v>
      </c>
      <c r="F57" s="12">
        <f t="shared" si="4"/>
        <v>94.865411674590163</v>
      </c>
      <c r="G57" s="12">
        <f t="shared" si="5"/>
        <v>10.377176636895198</v>
      </c>
    </row>
    <row r="58" spans="1:7" x14ac:dyDescent="0.25">
      <c r="A58" s="6" t="str">
        <f>'Run File 11.19.24'!A55</f>
        <v xml:space="preserve">T7 06/03/24 0:00 </v>
      </c>
      <c r="B58" s="16">
        <f>'Run File 11.19.24'!B55</f>
        <v>1.1093999999999999</v>
      </c>
      <c r="C58" s="16">
        <f>'Run File 11.19.24'!C55</f>
        <v>0.14184999999999998</v>
      </c>
      <c r="E58" s="11" t="str">
        <f t="shared" si="3"/>
        <v xml:space="preserve">T7 06/03/24 0:00 </v>
      </c>
      <c r="F58" s="12">
        <f t="shared" si="4"/>
        <v>92.367638855353974</v>
      </c>
      <c r="G58" s="12">
        <f t="shared" si="5"/>
        <v>10.127296222522077</v>
      </c>
    </row>
    <row r="59" spans="1:7" x14ac:dyDescent="0.25">
      <c r="A59" s="6" t="str">
        <f>'Run File 11.19.24'!A56</f>
        <v xml:space="preserve">T8 06/03/24 0:00 </v>
      </c>
      <c r="B59" s="16">
        <f>'Run File 11.19.24'!B56</f>
        <v>1.0304</v>
      </c>
      <c r="C59" s="16">
        <f>'Run File 11.19.24'!C56</f>
        <v>0.14228999999999997</v>
      </c>
      <c r="E59" s="11" t="str">
        <f t="shared" si="3"/>
        <v xml:space="preserve">T8 06/03/24 0:00 </v>
      </c>
      <c r="F59" s="12">
        <f t="shared" si="4"/>
        <v>85.790170431365354</v>
      </c>
      <c r="G59" s="12">
        <f t="shared" si="5"/>
        <v>10.158709760328984</v>
      </c>
    </row>
    <row r="60" spans="1:7" x14ac:dyDescent="0.25">
      <c r="A60" s="6" t="str">
        <f>'Run File 11.19.24'!A57</f>
        <v xml:space="preserve">T9 06/03/24 0:00 </v>
      </c>
      <c r="B60" s="16">
        <f>'Run File 11.19.24'!B57</f>
        <v>1.0664</v>
      </c>
      <c r="C60" s="16">
        <f>'Run File 11.19.24'!C57</f>
        <v>0.14925999999999995</v>
      </c>
      <c r="E60" s="11" t="str">
        <f t="shared" si="0"/>
        <v xml:space="preserve">T9 06/03/24 0:00 </v>
      </c>
      <c r="F60" s="12">
        <f t="shared" si="1"/>
        <v>88.787497814448784</v>
      </c>
      <c r="G60" s="12">
        <f t="shared" si="2"/>
        <v>10.656328756952027</v>
      </c>
    </row>
    <row r="61" spans="1:7" x14ac:dyDescent="0.25">
      <c r="A61" s="6" t="str">
        <f>'Run File 11.19.24'!A58</f>
        <v xml:space="preserve">T10 06/03/24 0:00 </v>
      </c>
      <c r="B61" s="16">
        <f>'Run File 11.19.24'!B58</f>
        <v>1.0434000000000001</v>
      </c>
      <c r="C61" s="16">
        <f>'Run File 11.19.24'!C58</f>
        <v>0.15174999999999994</v>
      </c>
      <c r="E61" s="11" t="str">
        <f t="shared" si="0"/>
        <v xml:space="preserve">T10 06/03/24 0:00 </v>
      </c>
      <c r="F61" s="12">
        <f t="shared" si="1"/>
        <v>86.872538653034383</v>
      </c>
      <c r="G61" s="12">
        <f t="shared" si="2"/>
        <v>10.834100823177476</v>
      </c>
    </row>
    <row r="62" spans="1:7" x14ac:dyDescent="0.25">
      <c r="A62" s="6" t="str">
        <f>'Run File 11.19.24'!A59</f>
        <v xml:space="preserve">T11 06/03/24 0:00 </v>
      </c>
      <c r="B62" s="16">
        <f>'Run File 11.19.24'!B59</f>
        <v>0.97940000000000005</v>
      </c>
      <c r="C62" s="16">
        <f>'Run File 11.19.24'!C59</f>
        <v>0.14111999999999997</v>
      </c>
      <c r="E62" s="11" t="str">
        <f t="shared" si="0"/>
        <v xml:space="preserve">T11 06/03/24 0:00 </v>
      </c>
      <c r="F62" s="12">
        <f t="shared" si="1"/>
        <v>81.543956638663857</v>
      </c>
      <c r="G62" s="12">
        <f t="shared" si="2"/>
        <v>10.075178307524252</v>
      </c>
    </row>
    <row r="63" spans="1:7" x14ac:dyDescent="0.25">
      <c r="A63" s="6" t="str">
        <f>'Run File 11.19.24'!A60</f>
        <v xml:space="preserve">T12 06/03/24 0:00 </v>
      </c>
      <c r="B63" s="16">
        <f>'Run File 11.19.24'!B60</f>
        <v>1.0054000000000001</v>
      </c>
      <c r="C63" s="16">
        <f>'Run File 11.19.24'!C60</f>
        <v>0.14216999999999996</v>
      </c>
      <c r="E63" s="11" t="str">
        <f t="shared" si="0"/>
        <v xml:space="preserve">T12 06/03/24 0:00 </v>
      </c>
      <c r="F63" s="12">
        <f t="shared" si="1"/>
        <v>83.708693082001886</v>
      </c>
      <c r="G63" s="12">
        <f t="shared" si="2"/>
        <v>10.150142431836189</v>
      </c>
    </row>
    <row r="64" spans="1:7" x14ac:dyDescent="0.25">
      <c r="A64" s="6" t="str">
        <f>'Run File 11.19.24'!A61</f>
        <v>T13 06/03/24 0:00</v>
      </c>
      <c r="B64" s="16">
        <f>'Run File 11.19.24'!B61</f>
        <v>4.3503999999999996</v>
      </c>
      <c r="C64" s="16">
        <f>'Run File 11.19.24'!C61</f>
        <v>0.15799999999999997</v>
      </c>
      <c r="E64" s="11" t="str">
        <f t="shared" si="0"/>
        <v>T13 06/03/24 0:00</v>
      </c>
      <c r="F64" s="12">
        <f t="shared" si="1"/>
        <v>362.21036242683601</v>
      </c>
      <c r="G64" s="12">
        <f t="shared" si="2"/>
        <v>11.280315848843765</v>
      </c>
    </row>
    <row r="65" spans="1:7" x14ac:dyDescent="0.25">
      <c r="A65" s="6" t="str">
        <f>'Run File 11.19.24'!A62</f>
        <v>T14 06/03/24 0:00</v>
      </c>
      <c r="B65" s="16">
        <f>'Run File 11.19.24'!B62</f>
        <v>1.1954</v>
      </c>
      <c r="C65" s="16">
        <f>'Run File 11.19.24'!C62</f>
        <v>0.13784999999999997</v>
      </c>
      <c r="E65" s="11" t="str">
        <f t="shared" si="0"/>
        <v>T14 06/03/24 0:00</v>
      </c>
      <c r="F65" s="12">
        <f t="shared" si="1"/>
        <v>99.527920937164367</v>
      </c>
      <c r="G65" s="12">
        <f t="shared" si="2"/>
        <v>9.8417186060956521</v>
      </c>
    </row>
    <row r="66" spans="1:7" x14ac:dyDescent="0.25">
      <c r="A66" s="6" t="str">
        <f>'Run File 11.19.24'!A66</f>
        <v xml:space="preserve">T15 06/03/24 0:00 </v>
      </c>
      <c r="B66" s="16">
        <f>'Run File 11.19.24'!B66</f>
        <v>1.1184000000000001</v>
      </c>
      <c r="C66" s="16">
        <f>'Run File 11.19.24'!C66</f>
        <v>0.16979999999999995</v>
      </c>
      <c r="E66" s="11" t="str">
        <f t="shared" si="0"/>
        <v xml:space="preserve">T15 06/03/24 0:00 </v>
      </c>
      <c r="F66" s="12">
        <f t="shared" si="1"/>
        <v>93.116970701124828</v>
      </c>
      <c r="G66" s="12">
        <f t="shared" si="2"/>
        <v>12.122769817301716</v>
      </c>
    </row>
    <row r="67" spans="1:7" x14ac:dyDescent="0.25">
      <c r="A67" s="6" t="str">
        <f>'Run File 11.19.24'!A67</f>
        <v xml:space="preserve">T16 06/03/24 0:00 </v>
      </c>
      <c r="B67" s="16">
        <f>'Run File 11.19.24'!B67</f>
        <v>1.0744</v>
      </c>
      <c r="C67" s="16">
        <f>'Run File 11.19.24'!C67</f>
        <v>0.15474999999999994</v>
      </c>
      <c r="E67" s="11" t="str">
        <f t="shared" si="0"/>
        <v xml:space="preserve">T16 06/03/24 0:00 </v>
      </c>
      <c r="F67" s="12">
        <f t="shared" si="1"/>
        <v>89.453570566245105</v>
      </c>
      <c r="G67" s="12">
        <f t="shared" si="2"/>
        <v>11.048284035497293</v>
      </c>
    </row>
    <row r="68" spans="1:7" x14ac:dyDescent="0.25">
      <c r="A68" s="6" t="str">
        <f>'Run File 11.19.24'!A68</f>
        <v xml:space="preserve">F1_IN 06/03/24 6:00 </v>
      </c>
      <c r="B68" s="16">
        <f>'Run File 11.19.24'!B68</f>
        <v>0.90160000000000007</v>
      </c>
      <c r="C68" s="16">
        <f>'Run File 11.19.24'!C68</f>
        <v>0.14152999999999996</v>
      </c>
      <c r="E68" s="11" t="str">
        <f t="shared" si="0"/>
        <v xml:space="preserve">F1_IN 06/03/24 6:00 </v>
      </c>
      <c r="F68" s="12">
        <f t="shared" si="1"/>
        <v>75.066399127444697</v>
      </c>
      <c r="G68" s="12">
        <f t="shared" si="2"/>
        <v>10.104450013207961</v>
      </c>
    </row>
    <row r="69" spans="1:7" x14ac:dyDescent="0.25">
      <c r="A69" s="6" t="str">
        <f>'Run File 11.19.24'!A69</f>
        <v xml:space="preserve">T1 06/03/24 6:00 </v>
      </c>
      <c r="B69" s="16">
        <f>'Run File 11.19.24'!B69</f>
        <v>1.0154000000000001</v>
      </c>
      <c r="C69" s="16">
        <f>'Run File 11.19.24'!C69</f>
        <v>0.14081999999999995</v>
      </c>
      <c r="E69" s="11" t="str">
        <f t="shared" si="0"/>
        <v xml:space="preserve">T1 06/03/24 6:00 </v>
      </c>
      <c r="F69" s="12">
        <f t="shared" si="1"/>
        <v>84.541284021747273</v>
      </c>
      <c r="G69" s="12">
        <f t="shared" si="2"/>
        <v>10.05375998629227</v>
      </c>
    </row>
    <row r="70" spans="1:7" x14ac:dyDescent="0.25">
      <c r="A70" s="6" t="str">
        <f>'Run File 11.19.24'!A70</f>
        <v xml:space="preserve">T2 06/03/24 6:00 </v>
      </c>
      <c r="B70" s="16">
        <f>'Run File 11.19.24'!B70</f>
        <v>0.95340000000000003</v>
      </c>
      <c r="C70" s="16">
        <f>'Run File 11.19.24'!C70</f>
        <v>0.13378999999999996</v>
      </c>
      <c r="E70" s="11" t="str">
        <f t="shared" si="0"/>
        <v xml:space="preserve">T2 06/03/24 6:00 </v>
      </c>
      <c r="F70" s="12">
        <f t="shared" si="1"/>
        <v>79.379220195325843</v>
      </c>
      <c r="G70" s="12">
        <f t="shared" si="2"/>
        <v>9.5518573254228301</v>
      </c>
    </row>
    <row r="71" spans="1:7" x14ac:dyDescent="0.25">
      <c r="A71" s="6" t="str">
        <f>'Run File 11.19.24'!A71</f>
        <v xml:space="preserve">T3 06/03/24 6:00 </v>
      </c>
      <c r="B71" s="16">
        <f>'Run File 11.19.24'!B71</f>
        <v>0.85909999999999997</v>
      </c>
      <c r="C71" s="16">
        <f>'Run File 11.19.24'!C71</f>
        <v>0.14461999999999997</v>
      </c>
      <c r="E71" s="11" t="str">
        <f t="shared" si="0"/>
        <v xml:space="preserve">T3 06/03/24 6:00 </v>
      </c>
      <c r="F71" s="12">
        <f t="shared" si="1"/>
        <v>71.527887633526774</v>
      </c>
      <c r="G71" s="12">
        <f t="shared" si="2"/>
        <v>10.325058721897374</v>
      </c>
    </row>
    <row r="72" spans="1:7" x14ac:dyDescent="0.25">
      <c r="A72" s="6" t="str">
        <f>'Run File 11.19.24'!A72</f>
        <v xml:space="preserve">T4 06/03/24 6:00 </v>
      </c>
      <c r="B72" s="16">
        <f>'Run File 11.19.24'!B72</f>
        <v>1.5813999999999999</v>
      </c>
      <c r="C72" s="16">
        <f>'Run File 11.19.24'!C72</f>
        <v>0.19511999999999996</v>
      </c>
      <c r="E72" s="11" t="str">
        <f t="shared" si="0"/>
        <v xml:space="preserve">T4 06/03/24 6:00 </v>
      </c>
      <c r="F72" s="12">
        <f t="shared" si="1"/>
        <v>131.66593121133656</v>
      </c>
      <c r="G72" s="12">
        <f t="shared" si="2"/>
        <v>13.930476129280985</v>
      </c>
    </row>
    <row r="73" spans="1:7" x14ac:dyDescent="0.25">
      <c r="A73" s="6" t="str">
        <f>'Run File 11.19.24'!A73</f>
        <v xml:space="preserve">T5 06/03/24 6:00 </v>
      </c>
      <c r="B73" s="16">
        <f>'Run File 11.19.24'!B73</f>
        <v>0.90280000000000005</v>
      </c>
      <c r="C73" s="16">
        <f>'Run File 11.19.24'!C73</f>
        <v>0.15135999999999997</v>
      </c>
      <c r="E73" s="11" t="str">
        <f t="shared" si="0"/>
        <v xml:space="preserve">T5 06/03/24 6:00 </v>
      </c>
      <c r="F73" s="12">
        <f t="shared" si="1"/>
        <v>75.166310040214157</v>
      </c>
      <c r="G73" s="12">
        <f t="shared" si="2"/>
        <v>10.806257005575901</v>
      </c>
    </row>
    <row r="74" spans="1:7" x14ac:dyDescent="0.25">
      <c r="A74" s="6" t="str">
        <f>'Run File 11.19.24'!A74</f>
        <v>T6 06/03/24 6:00</v>
      </c>
      <c r="B74" s="16">
        <f>'Run File 11.19.24'!B74</f>
        <v>1.0014000000000001</v>
      </c>
      <c r="C74" s="16">
        <f>'Run File 11.19.24'!C74</f>
        <v>0.17841999999999997</v>
      </c>
      <c r="E74" s="11" t="str">
        <f t="shared" si="0"/>
        <v>T6 06/03/24 6:00</v>
      </c>
      <c r="F74" s="12">
        <f t="shared" si="1"/>
        <v>83.375656706103726</v>
      </c>
      <c r="G74" s="12">
        <f t="shared" si="2"/>
        <v>12.738189580700661</v>
      </c>
    </row>
    <row r="75" spans="1:7" x14ac:dyDescent="0.25">
      <c r="A75" s="6" t="str">
        <f>'Run File 11.19.24'!A75</f>
        <v xml:space="preserve">T7 06/03/24 6:00 </v>
      </c>
      <c r="B75" s="16">
        <f>'Run File 11.19.24'!B75</f>
        <v>1.1904000000000001</v>
      </c>
      <c r="C75" s="16">
        <f>'Run File 11.19.24'!C75</f>
        <v>0.18101999999999996</v>
      </c>
      <c r="E75" s="11" t="str">
        <f t="shared" si="0"/>
        <v xml:space="preserve">T7 06/03/24 6:00 </v>
      </c>
      <c r="F75" s="12">
        <f t="shared" si="1"/>
        <v>99.111625467291674</v>
      </c>
      <c r="G75" s="12">
        <f t="shared" si="2"/>
        <v>12.923815031377838</v>
      </c>
    </row>
    <row r="76" spans="1:7" x14ac:dyDescent="0.25">
      <c r="A76" s="6" t="str">
        <f>'Run File 11.21.24'!A17</f>
        <v xml:space="preserve">T8 06/03/24 6:00 </v>
      </c>
      <c r="B76" s="16">
        <f>'Run File 11.21.24'!B17</f>
        <v>0.98724999999999996</v>
      </c>
      <c r="C76" s="16">
        <f>'Run File 11.21.24'!C17</f>
        <v>0.16429000000000005</v>
      </c>
      <c r="E76" s="11" t="str">
        <f t="shared" si="0"/>
        <v xml:space="preserve">T8 06/03/24 6:00 </v>
      </c>
      <c r="F76" s="12">
        <f t="shared" si="1"/>
        <v>82.197540526363994</v>
      </c>
      <c r="G76" s="12">
        <f t="shared" si="2"/>
        <v>11.729386650674323</v>
      </c>
    </row>
    <row r="77" spans="1:7" x14ac:dyDescent="0.25">
      <c r="A77" s="6" t="str">
        <f>'Run File 11.21.24'!A18</f>
        <v xml:space="preserve">T9 06/03/24 6:00 </v>
      </c>
      <c r="B77" s="16">
        <f>'Run File 11.21.24'!B18</f>
        <v>1.8100499999999999</v>
      </c>
      <c r="C77" s="16">
        <f>'Run File 11.21.24'!C18</f>
        <v>0.25320000000000004</v>
      </c>
      <c r="E77" s="11" t="str">
        <f t="shared" si="0"/>
        <v xml:space="preserve">T9 06/03/24 6:00 </v>
      </c>
      <c r="F77" s="12">
        <f t="shared" si="1"/>
        <v>150.70312304861497</v>
      </c>
      <c r="G77" s="12">
        <f t="shared" si="2"/>
        <v>18.077063119792673</v>
      </c>
    </row>
    <row r="78" spans="1:7" x14ac:dyDescent="0.25">
      <c r="A78" s="6" t="str">
        <f>'Run File 11.21.24'!A19</f>
        <v xml:space="preserve">T10 06/03/24 6:00 </v>
      </c>
      <c r="B78" s="16">
        <f>'Run File 11.21.24'!B19</f>
        <v>1.8100499999999999</v>
      </c>
      <c r="C78" s="16">
        <f>'Run File 11.21.24'!C19</f>
        <v>0.30160000000000003</v>
      </c>
      <c r="E78" s="11" t="str">
        <f t="shared" si="0"/>
        <v xml:space="preserve">T10 06/03/24 6:00 </v>
      </c>
      <c r="F78" s="12">
        <f t="shared" si="1"/>
        <v>150.70312304861497</v>
      </c>
      <c r="G78" s="12">
        <f t="shared" si="2"/>
        <v>21.532552278552409</v>
      </c>
    </row>
    <row r="79" spans="1:7" x14ac:dyDescent="0.25">
      <c r="A79" s="6" t="str">
        <f>'Run File 11.21.24'!A20</f>
        <v xml:space="preserve">T11 06/03/24 6:00 </v>
      </c>
      <c r="B79" s="16">
        <f>'Run File 11.21.24'!B20</f>
        <v>1.0450499999999998</v>
      </c>
      <c r="C79" s="16">
        <f>'Run File 11.21.24'!C20</f>
        <v>1.1192</v>
      </c>
      <c r="E79" s="11" t="str">
        <f t="shared" si="0"/>
        <v xml:space="preserve">T11 06/03/24 6:00 </v>
      </c>
      <c r="F79" s="12">
        <f t="shared" si="1"/>
        <v>87.009916158092352</v>
      </c>
      <c r="G79" s="12">
        <f t="shared" si="2"/>
        <v>79.904617076113567</v>
      </c>
    </row>
    <row r="80" spans="1:7" x14ac:dyDescent="0.25">
      <c r="A80" s="6" t="str">
        <f>'Run File 11.21.24'!A21</f>
        <v xml:space="preserve">T13 06/03/24 6:00 </v>
      </c>
      <c r="B80" s="16">
        <f>'Run File 11.21.24'!B21</f>
        <v>1.4050500000000001</v>
      </c>
      <c r="C80" s="16">
        <f>'Run File 11.21.24'!C21</f>
        <v>0.17280000000000004</v>
      </c>
      <c r="E80" s="11" t="str">
        <f t="shared" si="0"/>
        <v xml:space="preserve">T13 06/03/24 6:00 </v>
      </c>
      <c r="F80" s="12">
        <f t="shared" si="1"/>
        <v>116.98318998892655</v>
      </c>
      <c r="G80" s="12">
        <f t="shared" si="2"/>
        <v>12.33695302962154</v>
      </c>
    </row>
    <row r="81" spans="1:7" x14ac:dyDescent="0.25">
      <c r="A81" s="6" t="str">
        <f>'Run File 11.21.24'!A22</f>
        <v xml:space="preserve">T14 06/03/24 6:00 </v>
      </c>
      <c r="B81" s="16">
        <f>'Run File 11.21.24'!B22</f>
        <v>1.5280499999999999</v>
      </c>
      <c r="C81" s="16">
        <f>'Run File 11.21.24'!C22</f>
        <v>0.21740000000000004</v>
      </c>
      <c r="E81" s="11" t="str">
        <f t="shared" si="0"/>
        <v xml:space="preserve">T14 06/03/24 6:00 </v>
      </c>
      <c r="F81" s="12">
        <f t="shared" si="1"/>
        <v>127.22405854779487</v>
      </c>
      <c r="G81" s="12">
        <f t="shared" si="2"/>
        <v>15.521143452776174</v>
      </c>
    </row>
    <row r="82" spans="1:7" x14ac:dyDescent="0.25">
      <c r="A82" s="6" t="str">
        <f>'Run File 11.21.24'!A23</f>
        <v xml:space="preserve">T15 06/03/24 6:00 </v>
      </c>
      <c r="B82" s="16">
        <f>'Run File 11.21.24'!B23</f>
        <v>1.8390499999999999</v>
      </c>
      <c r="C82" s="16">
        <f>'Run File 11.21.24'!C23</f>
        <v>0.22470000000000004</v>
      </c>
      <c r="E82" s="11" t="str">
        <f t="shared" si="0"/>
        <v xml:space="preserve">T15 06/03/24 6:00 </v>
      </c>
      <c r="F82" s="12">
        <f t="shared" si="1"/>
        <v>153.1176367738766</v>
      </c>
      <c r="G82" s="12">
        <f t="shared" si="2"/>
        <v>16.0423226027544</v>
      </c>
    </row>
    <row r="83" spans="1:7" x14ac:dyDescent="0.25">
      <c r="A83" s="6" t="str">
        <f>'Run File 11.21.24'!A24</f>
        <v>T16 06/03/24 6:00</v>
      </c>
      <c r="B83" s="16">
        <f>'Run File 11.21.24'!B24</f>
        <v>1.09605</v>
      </c>
      <c r="C83" s="16">
        <f>'Run File 11.21.24'!C24</f>
        <v>0.16031000000000004</v>
      </c>
      <c r="E83" s="11" t="str">
        <f t="shared" si="0"/>
        <v>T16 06/03/24 6:00</v>
      </c>
      <c r="F83" s="12">
        <f t="shared" si="1"/>
        <v>91.256129950793877</v>
      </c>
      <c r="G83" s="12">
        <f t="shared" si="2"/>
        <v>11.445236922330029</v>
      </c>
    </row>
    <row r="84" spans="1:7" x14ac:dyDescent="0.25">
      <c r="A84" s="6" t="str">
        <f>'Run File 11.21.24'!A25</f>
        <v xml:space="preserve">F1 06/04/24 12:00 </v>
      </c>
      <c r="B84" s="16">
        <f>'Run File 11.21.24'!B25</f>
        <v>1.0730499999999998</v>
      </c>
      <c r="C84" s="16">
        <f>'Run File 11.21.24'!C25</f>
        <v>0.14723000000000003</v>
      </c>
      <c r="E84" s="11" t="str">
        <f t="shared" si="0"/>
        <v xml:space="preserve">F1 06/04/24 12:00 </v>
      </c>
      <c r="F84" s="12">
        <f t="shared" si="1"/>
        <v>89.341170789379461</v>
      </c>
      <c r="G84" s="12">
        <f t="shared" si="2"/>
        <v>10.511398116615622</v>
      </c>
    </row>
    <row r="85" spans="1:7" x14ac:dyDescent="0.25">
      <c r="A85" s="6" t="str">
        <f>'Run File 11.21.24'!A29</f>
        <v xml:space="preserve">F2_IN 06/04/24 12:00 </v>
      </c>
      <c r="B85" s="16">
        <f>'Run File 11.21.24'!B29</f>
        <v>1.1070500000000001</v>
      </c>
      <c r="C85" s="16">
        <f>'Run File 11.21.24'!C29</f>
        <v>0.14594000000000004</v>
      </c>
      <c r="E85" s="11" t="str">
        <f t="shared" ref="E85:E88" si="6">A85</f>
        <v xml:space="preserve">F2_IN 06/04/24 12:00 </v>
      </c>
      <c r="F85" s="12">
        <f t="shared" ref="F85:F88" si="7">B85/12.0107*1000</f>
        <v>92.171979984513825</v>
      </c>
      <c r="G85" s="12">
        <f t="shared" ref="G85:G88" si="8">C85/14.0067*1000</f>
        <v>10.419299335318101</v>
      </c>
    </row>
    <row r="86" spans="1:7" x14ac:dyDescent="0.25">
      <c r="A86" s="6" t="str">
        <f>'Run File 11.21.24'!A30</f>
        <v xml:space="preserve">T1 06/04/24 12:00 </v>
      </c>
      <c r="B86" s="16">
        <f>'Run File 11.21.24'!B30</f>
        <v>1.1690499999999999</v>
      </c>
      <c r="C86" s="16">
        <f>'Run File 11.21.24'!C30</f>
        <v>0.14878000000000002</v>
      </c>
      <c r="E86" s="11" t="str">
        <f t="shared" si="6"/>
        <v xml:space="preserve">T1 06/04/24 12:00 </v>
      </c>
      <c r="F86" s="12">
        <f t="shared" si="7"/>
        <v>97.334043810935242</v>
      </c>
      <c r="G86" s="12">
        <f t="shared" si="8"/>
        <v>10.622059442980859</v>
      </c>
    </row>
    <row r="87" spans="1:7" x14ac:dyDescent="0.25">
      <c r="A87" s="6" t="str">
        <f>'Run File 11.21.24'!A31</f>
        <v>T2 06/04/24 12:00</v>
      </c>
      <c r="B87" s="16">
        <f>'Run File 11.21.24'!B31</f>
        <v>1.2110500000000002</v>
      </c>
      <c r="C87" s="16">
        <f>'Run File 11.21.24'!C31</f>
        <v>0.14960000000000004</v>
      </c>
      <c r="E87" s="11" t="str">
        <f t="shared" si="6"/>
        <v>T2 06/04/24 12:00</v>
      </c>
      <c r="F87" s="12">
        <f t="shared" si="7"/>
        <v>100.83092575786593</v>
      </c>
      <c r="G87" s="12">
        <f t="shared" si="8"/>
        <v>10.68060285434828</v>
      </c>
    </row>
    <row r="88" spans="1:7" x14ac:dyDescent="0.25">
      <c r="A88" s="6" t="str">
        <f>'Run File 11.21.24'!A32</f>
        <v>T3 06/04/24 12:00</v>
      </c>
      <c r="B88" s="16">
        <f>'Run File 11.21.24'!B32</f>
        <v>1.0460500000000001</v>
      </c>
      <c r="C88" s="16">
        <f>'Run File 11.21.24'!C32</f>
        <v>0.13910000000000006</v>
      </c>
      <c r="E88" s="11" t="str">
        <f t="shared" si="6"/>
        <v>T3 06/04/24 12:00</v>
      </c>
      <c r="F88" s="12">
        <f t="shared" si="7"/>
        <v>87.093175252066914</v>
      </c>
      <c r="G88" s="12">
        <f t="shared" si="8"/>
        <v>9.9309616112289145</v>
      </c>
    </row>
    <row r="89" spans="1:7" x14ac:dyDescent="0.25">
      <c r="A89" s="6" t="str">
        <f>'Run File 11.21.24'!A33</f>
        <v xml:space="preserve">T4 06/04/24 12:00 </v>
      </c>
      <c r="B89" s="16">
        <f>'Run File 11.21.24'!B33</f>
        <v>1.2460499999999999</v>
      </c>
      <c r="C89" s="16">
        <f>'Run File 11.21.24'!C33</f>
        <v>0.14615000000000006</v>
      </c>
      <c r="E89" s="11" t="str">
        <f t="shared" ref="E89:E123" si="9">A89</f>
        <v xml:space="preserve">T4 06/04/24 12:00 </v>
      </c>
      <c r="F89" s="12">
        <f t="shared" ref="F89:F123" si="10">B89/12.0107*1000</f>
        <v>103.74499404697478</v>
      </c>
      <c r="G89" s="12">
        <f t="shared" ref="G89:G123" si="11">C89/14.0067*1000</f>
        <v>10.434292160180489</v>
      </c>
    </row>
    <row r="90" spans="1:7" x14ac:dyDescent="0.25">
      <c r="A90" s="6" t="str">
        <f>'Run File 11.21.24'!A34</f>
        <v xml:space="preserve">T5 06/04/24 12:00 </v>
      </c>
      <c r="B90" s="16">
        <f>'Run File 11.21.24'!B34</f>
        <v>1.0910500000000001</v>
      </c>
      <c r="C90" s="16">
        <f>'Run File 11.21.24'!C34</f>
        <v>0.14556000000000002</v>
      </c>
      <c r="E90" s="11" t="str">
        <f t="shared" si="9"/>
        <v xml:space="preserve">T5 06/04/24 12:00 </v>
      </c>
      <c r="F90" s="12">
        <f t="shared" si="10"/>
        <v>90.839834480921184</v>
      </c>
      <c r="G90" s="12">
        <f t="shared" si="11"/>
        <v>10.392169461757588</v>
      </c>
    </row>
    <row r="91" spans="1:7" x14ac:dyDescent="0.25">
      <c r="A91" s="6" t="str">
        <f>'Run File 11.21.24'!A35</f>
        <v xml:space="preserve">T6 06/04/24 12:00 </v>
      </c>
      <c r="B91" s="16">
        <f>'Run File 11.21.24'!B35</f>
        <v>1.1510500000000001</v>
      </c>
      <c r="C91" s="16">
        <f>'Run File 11.21.24'!C35</f>
        <v>0.15158000000000005</v>
      </c>
      <c r="E91" s="11" t="str">
        <f t="shared" si="9"/>
        <v xml:space="preserve">T6 06/04/24 12:00 </v>
      </c>
      <c r="F91" s="12">
        <f t="shared" si="10"/>
        <v>95.835380119393548</v>
      </c>
      <c r="G91" s="12">
        <f t="shared" si="11"/>
        <v>10.821963774479359</v>
      </c>
    </row>
    <row r="92" spans="1:7" x14ac:dyDescent="0.25">
      <c r="A92" s="6" t="str">
        <f>'Run File 11.21.24'!A36</f>
        <v>T7 06/04/24 12:00</v>
      </c>
      <c r="B92" s="16">
        <f>'Run File 11.21.24'!B36</f>
        <v>1.1420499999999998</v>
      </c>
      <c r="C92" s="16">
        <f>'Run File 11.21.24'!C36</f>
        <v>0.14460000000000006</v>
      </c>
      <c r="E92" s="11" t="str">
        <f t="shared" si="9"/>
        <v>T7 06/04/24 12:00</v>
      </c>
      <c r="F92" s="12">
        <f t="shared" si="10"/>
        <v>95.086048273622666</v>
      </c>
      <c r="G92" s="12">
        <f t="shared" si="11"/>
        <v>10.323630833815249</v>
      </c>
    </row>
    <row r="93" spans="1:7" x14ac:dyDescent="0.25">
      <c r="A93" s="6" t="str">
        <f>'Run File 11.21.24'!A37</f>
        <v xml:space="preserve">T8 06/04/24 12:00 </v>
      </c>
      <c r="B93" s="16">
        <f>'Run File 11.21.24'!B37</f>
        <v>1.14005</v>
      </c>
      <c r="C93" s="16">
        <f>'Run File 11.21.24'!C37</f>
        <v>0.14449000000000004</v>
      </c>
      <c r="E93" s="11" t="str">
        <f t="shared" si="9"/>
        <v xml:space="preserve">T8 06/04/24 12:00 </v>
      </c>
      <c r="F93" s="12">
        <f t="shared" si="10"/>
        <v>94.919530085673614</v>
      </c>
      <c r="G93" s="12">
        <f t="shared" si="11"/>
        <v>10.315777449363519</v>
      </c>
    </row>
    <row r="94" spans="1:7" x14ac:dyDescent="0.25">
      <c r="A94" s="6" t="str">
        <f>'Run File 11.21.24'!A38</f>
        <v xml:space="preserve">T9 06/04/24 12:00 </v>
      </c>
      <c r="B94" s="16">
        <f>'Run File 11.21.24'!B38</f>
        <v>1.1540499999999998</v>
      </c>
      <c r="C94" s="16">
        <f>'Run File 11.21.24'!C38</f>
        <v>0.14186000000000004</v>
      </c>
      <c r="E94" s="11" t="str">
        <f t="shared" si="9"/>
        <v xml:space="preserve">T9 06/04/24 12:00 </v>
      </c>
      <c r="F94" s="12">
        <f t="shared" si="10"/>
        <v>96.085157401317133</v>
      </c>
      <c r="G94" s="12">
        <f t="shared" si="11"/>
        <v>10.128010166563147</v>
      </c>
    </row>
    <row r="95" spans="1:7" x14ac:dyDescent="0.25">
      <c r="A95" s="6" t="str">
        <f>'Run File 11.21.24'!A42</f>
        <v>T10 06/04/24 12:00</v>
      </c>
      <c r="B95" s="16">
        <f>'Run File 11.21.24'!B42</f>
        <v>1.1170499999999999</v>
      </c>
      <c r="C95" s="16">
        <f>'Run File 11.21.24'!C42</f>
        <v>0.14458000000000004</v>
      </c>
      <c r="E95" s="11" t="str">
        <f t="shared" si="9"/>
        <v>T10 06/04/24 12:00</v>
      </c>
      <c r="F95" s="12">
        <f t="shared" si="10"/>
        <v>93.004570924259198</v>
      </c>
      <c r="G95" s="12">
        <f t="shared" si="11"/>
        <v>10.322202945733116</v>
      </c>
    </row>
    <row r="96" spans="1:7" x14ac:dyDescent="0.25">
      <c r="A96" s="6" t="str">
        <f>'Run File 11.21.24'!A43</f>
        <v xml:space="preserve">T11 06/04/24 12:00 </v>
      </c>
      <c r="B96" s="16">
        <f>'Run File 11.21.24'!B43</f>
        <v>1.0610499999999998</v>
      </c>
      <c r="C96" s="16">
        <f>'Run File 11.21.24'!C43</f>
        <v>0.14590000000000003</v>
      </c>
      <c r="E96" s="11" t="str">
        <f t="shared" si="9"/>
        <v xml:space="preserve">T11 06/04/24 12:00 </v>
      </c>
      <c r="F96" s="12">
        <f t="shared" si="10"/>
        <v>88.34206166168498</v>
      </c>
      <c r="G96" s="12">
        <f t="shared" si="11"/>
        <v>10.416443559153835</v>
      </c>
    </row>
    <row r="97" spans="1:7" x14ac:dyDescent="0.25">
      <c r="A97" s="6" t="str">
        <f>'Run File 11.21.24'!A44</f>
        <v xml:space="preserve">T12 06/04/24 12:00 </v>
      </c>
      <c r="B97" s="16">
        <f>'Run File 11.21.24'!B44</f>
        <v>1.1150500000000001</v>
      </c>
      <c r="C97" s="16">
        <f>'Run File 11.21.24'!C44</f>
        <v>0.14542000000000005</v>
      </c>
      <c r="E97" s="11" t="str">
        <f t="shared" si="9"/>
        <v xml:space="preserve">T12 06/04/24 12:00 </v>
      </c>
      <c r="F97" s="12">
        <f t="shared" si="10"/>
        <v>92.838052736310132</v>
      </c>
      <c r="G97" s="12">
        <f t="shared" si="11"/>
        <v>10.382174245182664</v>
      </c>
    </row>
    <row r="98" spans="1:7" x14ac:dyDescent="0.25">
      <c r="A98" s="6" t="str">
        <f>'Run File 11.21.24'!A45</f>
        <v xml:space="preserve">T13 06/04/24 12:00 </v>
      </c>
      <c r="B98" s="16">
        <f>'Run File 11.21.24'!B45</f>
        <v>1.4460500000000001</v>
      </c>
      <c r="C98" s="16">
        <f>'Run File 11.21.24'!C45</f>
        <v>0.15301000000000003</v>
      </c>
      <c r="E98" s="11" t="str">
        <f t="shared" si="9"/>
        <v xml:space="preserve">T13 06/04/24 12:00 </v>
      </c>
      <c r="F98" s="12">
        <f t="shared" si="10"/>
        <v>120.39681284188266</v>
      </c>
      <c r="G98" s="12">
        <f t="shared" si="11"/>
        <v>10.924057772351805</v>
      </c>
    </row>
    <row r="99" spans="1:7" x14ac:dyDescent="0.25">
      <c r="A99" s="6" t="str">
        <f>'Run File 11.21.24'!A46</f>
        <v>T14 06/04/24 12:00</v>
      </c>
      <c r="B99" s="16">
        <f>'Run File 11.21.24'!B46</f>
        <v>1.2550499999999998</v>
      </c>
      <c r="C99" s="16">
        <f>'Run File 11.21.24'!C46</f>
        <v>0.14290000000000003</v>
      </c>
      <c r="E99" s="11" t="str">
        <f t="shared" si="9"/>
        <v>T14 06/04/24 12:00</v>
      </c>
      <c r="F99" s="12">
        <f t="shared" si="10"/>
        <v>104.49432589274561</v>
      </c>
      <c r="G99" s="12">
        <f t="shared" si="11"/>
        <v>10.202260346834018</v>
      </c>
    </row>
    <row r="100" spans="1:7" x14ac:dyDescent="0.25">
      <c r="A100" s="6" t="str">
        <f>'Run File 11.21.24'!A47</f>
        <v xml:space="preserve">T15 06/04/24 12:00 </v>
      </c>
      <c r="B100" s="16">
        <f>'Run File 11.21.24'!B47</f>
        <v>1.08005</v>
      </c>
      <c r="C100" s="16">
        <f>'Run File 11.21.24'!C47</f>
        <v>0.14916000000000004</v>
      </c>
      <c r="E100" s="11" t="str">
        <f t="shared" si="9"/>
        <v xml:space="preserve">T15 06/04/24 12:00 </v>
      </c>
      <c r="F100" s="12">
        <f t="shared" si="10"/>
        <v>89.923984447201249</v>
      </c>
      <c r="G100" s="12">
        <f t="shared" si="11"/>
        <v>10.649189316541372</v>
      </c>
    </row>
    <row r="101" spans="1:7" x14ac:dyDescent="0.25">
      <c r="A101" s="6" t="str">
        <f>'Run File 11.21.24'!A48</f>
        <v xml:space="preserve">T16 06/04/24 12:00 </v>
      </c>
      <c r="B101" s="16">
        <f>'Run File 11.21.24'!B48</f>
        <v>1.1180500000000002</v>
      </c>
      <c r="C101" s="16">
        <f>'Run File 11.21.24'!C48</f>
        <v>0.14529000000000003</v>
      </c>
      <c r="E101" s="11" t="str">
        <f t="shared" si="9"/>
        <v xml:space="preserve">T16 06/04/24 12:00 </v>
      </c>
      <c r="F101" s="12">
        <f t="shared" si="10"/>
        <v>93.08783001823376</v>
      </c>
      <c r="G101" s="12">
        <f t="shared" si="11"/>
        <v>10.372892972648804</v>
      </c>
    </row>
    <row r="102" spans="1:7" x14ac:dyDescent="0.25">
      <c r="A102" s="6" t="str">
        <f>'Run File 11.21.24'!A49</f>
        <v xml:space="preserve">F1_IN 06/06/24 12:00 </v>
      </c>
      <c r="B102" s="16">
        <f>'Run File 11.21.24'!B49</f>
        <v>1.87005</v>
      </c>
      <c r="C102" s="16">
        <f>'Run File 11.21.24'!C49</f>
        <v>0.17141000000000006</v>
      </c>
      <c r="E102" s="11" t="str">
        <f t="shared" si="9"/>
        <v xml:space="preserve">F1_IN 06/06/24 12:00 </v>
      </c>
      <c r="F102" s="12">
        <f t="shared" si="10"/>
        <v>155.69866868708735</v>
      </c>
      <c r="G102" s="12">
        <f t="shared" si="11"/>
        <v>12.23771480791336</v>
      </c>
    </row>
    <row r="103" spans="1:7" x14ac:dyDescent="0.25">
      <c r="A103" s="6" t="str">
        <f>'Run File 11.21.24'!A50</f>
        <v xml:space="preserve">F2_IN 06/06/24 12:00 </v>
      </c>
      <c r="B103" s="16">
        <f>'Run File 11.21.24'!B50</f>
        <v>1.9760499999999999</v>
      </c>
      <c r="C103" s="16">
        <f>'Run File 11.21.24'!C50</f>
        <v>0.17840000000000006</v>
      </c>
      <c r="E103" s="11" t="str">
        <f t="shared" si="9"/>
        <v xml:space="preserve">F2_IN 06/06/24 12:00 </v>
      </c>
      <c r="F103" s="12">
        <f t="shared" si="10"/>
        <v>164.5241326483885</v>
      </c>
      <c r="G103" s="12">
        <f t="shared" si="11"/>
        <v>12.736761692618536</v>
      </c>
    </row>
    <row r="104" spans="1:7" x14ac:dyDescent="0.25">
      <c r="A104" s="6" t="str">
        <f>'Run File 11.21.24'!A51</f>
        <v xml:space="preserve">T1 06/06/24 12:00 </v>
      </c>
      <c r="B104" s="16">
        <f>'Run File 11.21.24'!B51</f>
        <v>2.0160499999999999</v>
      </c>
      <c r="C104" s="16">
        <f>'Run File 11.21.24'!C51</f>
        <v>0.19510000000000005</v>
      </c>
      <c r="E104" s="11" t="str">
        <f t="shared" si="9"/>
        <v xml:space="preserve">T1 06/06/24 12:00 </v>
      </c>
      <c r="F104" s="12">
        <f t="shared" si="10"/>
        <v>167.85449640737008</v>
      </c>
      <c r="G104" s="12">
        <f t="shared" si="11"/>
        <v>13.929048241198858</v>
      </c>
    </row>
    <row r="105" spans="1:7" x14ac:dyDescent="0.25">
      <c r="A105" s="6" t="str">
        <f>'Run File 11.21.24'!A55</f>
        <v xml:space="preserve">T2 06/06/24 12:00 </v>
      </c>
      <c r="B105" s="16">
        <f>'Run File 11.21.24'!B55</f>
        <v>2.5480499999999999</v>
      </c>
      <c r="C105" s="16">
        <f>'Run File 11.21.24'!C55</f>
        <v>0.67320000000000002</v>
      </c>
      <c r="E105" s="11" t="str">
        <f t="shared" si="9"/>
        <v xml:space="preserve">T2 06/06/24 12:00 </v>
      </c>
      <c r="F105" s="12">
        <f t="shared" si="10"/>
        <v>212.14833440182505</v>
      </c>
      <c r="G105" s="12">
        <f t="shared" si="11"/>
        <v>48.062712844567244</v>
      </c>
    </row>
    <row r="106" spans="1:7" x14ac:dyDescent="0.25">
      <c r="A106" s="6" t="str">
        <f>'Run File 11.21.24'!A56</f>
        <v xml:space="preserve">T3 06/06/24 12:00 </v>
      </c>
      <c r="B106" s="16">
        <f>'Run File 11.21.24'!B56</f>
        <v>1.6020500000000002</v>
      </c>
      <c r="C106" s="16">
        <f>'Run File 11.21.24'!C56</f>
        <v>0.16037000000000004</v>
      </c>
      <c r="E106" s="11" t="str">
        <f t="shared" si="9"/>
        <v xml:space="preserve">T3 06/06/24 12:00 </v>
      </c>
      <c r="F106" s="12">
        <f t="shared" si="10"/>
        <v>133.38523150191082</v>
      </c>
      <c r="G106" s="12">
        <f t="shared" si="11"/>
        <v>11.449520586576428</v>
      </c>
    </row>
    <row r="107" spans="1:7" x14ac:dyDescent="0.25">
      <c r="A107" s="6" t="str">
        <f>'Run File 11.21.24'!A57</f>
        <v xml:space="preserve">T4 06/06/24 12:00 </v>
      </c>
      <c r="B107" s="16">
        <f>'Run File 11.21.24'!B57</f>
        <v>1.8720500000000002</v>
      </c>
      <c r="C107" s="16">
        <f>'Run File 11.21.24'!C57</f>
        <v>0.18090000000000006</v>
      </c>
      <c r="E107" s="11" t="str">
        <f t="shared" si="9"/>
        <v xml:space="preserve">T4 06/06/24 12:00 </v>
      </c>
      <c r="F107" s="12">
        <f t="shared" si="10"/>
        <v>155.86518687503644</v>
      </c>
      <c r="G107" s="12">
        <f t="shared" si="11"/>
        <v>12.915247702885052</v>
      </c>
    </row>
    <row r="108" spans="1:7" x14ac:dyDescent="0.25">
      <c r="A108" s="6" t="str">
        <f>'Run File 11.21.24'!A58</f>
        <v xml:space="preserve">T5 06/06/24 12:00 </v>
      </c>
      <c r="B108" s="16">
        <f>'Run File 11.21.24'!B58</f>
        <v>2.4420500000000001</v>
      </c>
      <c r="C108" s="16">
        <f>'Run File 11.21.24'!C58</f>
        <v>0.67280000000000006</v>
      </c>
      <c r="E108" s="11" t="str">
        <f t="shared" si="9"/>
        <v xml:space="preserve">T5 06/06/24 12:00 </v>
      </c>
      <c r="F108" s="12">
        <f t="shared" si="10"/>
        <v>203.32287044052387</v>
      </c>
      <c r="G108" s="12">
        <f t="shared" si="11"/>
        <v>48.034155082924606</v>
      </c>
    </row>
    <row r="109" spans="1:7" x14ac:dyDescent="0.25">
      <c r="A109" s="6" t="str">
        <f>'Run File 11.21.24'!A59</f>
        <v xml:space="preserve">T6 06/06/24 12:00 </v>
      </c>
      <c r="B109" s="16">
        <f>'Run File 11.21.24'!B59</f>
        <v>1.8600500000000002</v>
      </c>
      <c r="C109" s="16">
        <f>'Run File 11.21.24'!C59</f>
        <v>0.16493000000000005</v>
      </c>
      <c r="E109" s="11" t="str">
        <f t="shared" si="9"/>
        <v xml:space="preserve">T6 06/06/24 12:00 </v>
      </c>
      <c r="F109" s="12">
        <f t="shared" si="10"/>
        <v>154.86607774734199</v>
      </c>
      <c r="G109" s="12">
        <f t="shared" si="11"/>
        <v>11.775079069302551</v>
      </c>
    </row>
    <row r="110" spans="1:7" x14ac:dyDescent="0.25">
      <c r="A110" s="6" t="str">
        <f>'Run File 11.21.24'!A60</f>
        <v xml:space="preserve">T7 06/06/24 12:00 </v>
      </c>
      <c r="B110" s="16">
        <f>'Run File 11.21.24'!B60</f>
        <v>1.9250500000000001</v>
      </c>
      <c r="C110" s="16">
        <f>'Run File 11.21.24'!C60</f>
        <v>0.16510000000000002</v>
      </c>
      <c r="E110" s="11" t="str">
        <f t="shared" si="9"/>
        <v xml:space="preserve">T7 06/06/24 12:00 </v>
      </c>
      <c r="F110" s="12">
        <f t="shared" si="10"/>
        <v>160.27791885568701</v>
      </c>
      <c r="G110" s="12">
        <f t="shared" si="11"/>
        <v>11.787216118000673</v>
      </c>
    </row>
    <row r="111" spans="1:7" x14ac:dyDescent="0.25">
      <c r="A111" s="6" t="str">
        <f>'Run File 11.21.24'!A61</f>
        <v xml:space="preserve">T8 06/06/24 12:00 </v>
      </c>
      <c r="B111" s="16">
        <f>'Run File 11.21.24'!B61</f>
        <v>1.92605</v>
      </c>
      <c r="C111" s="16">
        <f>'Run File 11.21.24'!C61</f>
        <v>0.22800000000000004</v>
      </c>
      <c r="E111" s="11" t="str">
        <f t="shared" si="9"/>
        <v xml:space="preserve">T8 06/06/24 12:00 </v>
      </c>
      <c r="F111" s="12">
        <f t="shared" si="10"/>
        <v>160.36117794966157</v>
      </c>
      <c r="G111" s="12">
        <f t="shared" si="11"/>
        <v>16.277924136306197</v>
      </c>
    </row>
    <row r="112" spans="1:7" x14ac:dyDescent="0.25">
      <c r="A112" s="6" t="str">
        <f>'Run File 11.21.24'!A62</f>
        <v xml:space="preserve">T9 06/06/24 12:00 </v>
      </c>
      <c r="B112" s="16">
        <f>'Run File 11.21.24'!B62</f>
        <v>2.03505</v>
      </c>
      <c r="C112" s="16">
        <f>'Run File 11.21.24'!C62</f>
        <v>0.19250000000000006</v>
      </c>
      <c r="E112" s="11" t="str">
        <f t="shared" si="9"/>
        <v xml:space="preserve">T9 06/06/24 12:00 </v>
      </c>
      <c r="F112" s="12">
        <f t="shared" si="10"/>
        <v>169.43641919288635</v>
      </c>
      <c r="G112" s="12">
        <f t="shared" si="11"/>
        <v>13.743422790521683</v>
      </c>
    </row>
    <row r="113" spans="1:7" x14ac:dyDescent="0.25">
      <c r="A113" s="6" t="str">
        <f>'Run File 11.21.24'!A63</f>
        <v xml:space="preserve">T10 06/06/24 12:00 </v>
      </c>
      <c r="B113" s="16">
        <f>'Run File 11.21.24'!B63</f>
        <v>1.7760500000000001</v>
      </c>
      <c r="C113" s="16">
        <f>'Run File 11.21.24'!C63</f>
        <v>0.15730000000000005</v>
      </c>
      <c r="E113" s="11" t="str">
        <f t="shared" si="9"/>
        <v xml:space="preserve">T10 06/06/24 12:00 </v>
      </c>
      <c r="F113" s="12">
        <f t="shared" si="10"/>
        <v>147.87231385348065</v>
      </c>
      <c r="G113" s="12">
        <f t="shared" si="11"/>
        <v>11.230339765969147</v>
      </c>
    </row>
    <row r="114" spans="1:7" x14ac:dyDescent="0.25">
      <c r="A114" s="6" t="str">
        <f>'Run File 11.21.24'!A64</f>
        <v>T11 06/06/24 12:00</v>
      </c>
      <c r="B114" s="16">
        <f>'Run File 11.21.24'!B64</f>
        <v>2.0000499999999999</v>
      </c>
      <c r="C114" s="16">
        <f>'Run File 11.21.24'!C64</f>
        <v>0.23880000000000004</v>
      </c>
      <c r="E114" s="11" t="str">
        <f t="shared" si="9"/>
        <v>T11 06/06/24 12:00</v>
      </c>
      <c r="F114" s="12">
        <f t="shared" si="10"/>
        <v>166.52235090377746</v>
      </c>
      <c r="G114" s="12">
        <f t="shared" si="11"/>
        <v>17.048983700657548</v>
      </c>
    </row>
    <row r="115" spans="1:7" x14ac:dyDescent="0.25">
      <c r="A115" s="6" t="str">
        <f>'Run File 11.21.24'!A68</f>
        <v xml:space="preserve">T12 06/06/24 12:00 </v>
      </c>
      <c r="B115" s="16">
        <f>'Run File 11.21.24'!B68</f>
        <v>1.7640500000000001</v>
      </c>
      <c r="C115" s="16">
        <f>'Run File 11.21.24'!C68</f>
        <v>0.16299000000000002</v>
      </c>
      <c r="E115" s="11" t="str">
        <f t="shared" si="9"/>
        <v xml:space="preserve">T12 06/06/24 12:00 </v>
      </c>
      <c r="F115" s="12">
        <f t="shared" si="10"/>
        <v>146.8732047257862</v>
      </c>
      <c r="G115" s="12">
        <f t="shared" si="11"/>
        <v>11.636573925335734</v>
      </c>
    </row>
    <row r="116" spans="1:7" x14ac:dyDescent="0.25">
      <c r="A116" s="6" t="str">
        <f>'Run File 11.21.24'!A69</f>
        <v>T13 06/06/24 12:00</v>
      </c>
      <c r="B116" s="16">
        <f>'Run File 11.21.24'!B69</f>
        <v>1.85805</v>
      </c>
      <c r="C116" s="16">
        <f>'Run File 11.21.24'!C69</f>
        <v>0.17760000000000004</v>
      </c>
      <c r="E116" s="11" t="str">
        <f t="shared" si="9"/>
        <v>T13 06/06/24 12:00</v>
      </c>
      <c r="F116" s="12">
        <f t="shared" si="10"/>
        <v>154.69955955939287</v>
      </c>
      <c r="G116" s="12">
        <f t="shared" si="11"/>
        <v>12.67964616933325</v>
      </c>
    </row>
    <row r="117" spans="1:7" x14ac:dyDescent="0.25">
      <c r="A117" s="6" t="str">
        <f>'Run File 11.21.24'!A70</f>
        <v xml:space="preserve">T14 06/06/24 12:00 </v>
      </c>
      <c r="B117" s="16">
        <f>'Run File 11.21.24'!B70</f>
        <v>2.0930500000000003</v>
      </c>
      <c r="C117" s="16">
        <f>'Run File 11.21.24'!C70</f>
        <v>0.42730000000000007</v>
      </c>
      <c r="E117" s="11" t="str">
        <f t="shared" si="9"/>
        <v xml:space="preserve">T14 06/06/24 12:00 </v>
      </c>
      <c r="F117" s="12">
        <f t="shared" si="10"/>
        <v>174.26544664340966</v>
      </c>
      <c r="G117" s="12">
        <f t="shared" si="11"/>
        <v>30.506828874752802</v>
      </c>
    </row>
    <row r="118" spans="1:7" x14ac:dyDescent="0.25">
      <c r="A118" s="6" t="str">
        <f>'Run File 11.21.24'!A71</f>
        <v xml:space="preserve">T15 06/06/24 12:00 </v>
      </c>
      <c r="B118" s="16">
        <f>'Run File 11.21.24'!B71</f>
        <v>1.8630499999999999</v>
      </c>
      <c r="C118" s="16">
        <f>'Run File 11.21.24'!C71</f>
        <v>0.16441000000000006</v>
      </c>
      <c r="E118" s="11" t="str">
        <f t="shared" si="9"/>
        <v xml:space="preserve">T15 06/06/24 12:00 </v>
      </c>
      <c r="F118" s="12">
        <f t="shared" si="10"/>
        <v>155.11585502926556</v>
      </c>
      <c r="G118" s="12">
        <f t="shared" si="11"/>
        <v>11.737953979167116</v>
      </c>
    </row>
    <row r="119" spans="1:7" x14ac:dyDescent="0.25">
      <c r="A119" s="6" t="str">
        <f>'Run File 11.21.24'!A72</f>
        <v xml:space="preserve">T16 06/06/24 12:00 </v>
      </c>
      <c r="B119" s="16">
        <f>'Run File 11.21.24'!B72</f>
        <v>1.8690500000000001</v>
      </c>
      <c r="C119" s="16">
        <f>'Run File 11.21.24'!C72</f>
        <v>0.17900000000000005</v>
      </c>
      <c r="E119" s="11" t="str">
        <f t="shared" si="9"/>
        <v xml:space="preserve">T16 06/06/24 12:00 </v>
      </c>
      <c r="F119" s="12">
        <f t="shared" si="10"/>
        <v>155.61540959311282</v>
      </c>
      <c r="G119" s="12">
        <f t="shared" si="11"/>
        <v>12.7795983350825</v>
      </c>
    </row>
    <row r="120" spans="1:7" x14ac:dyDescent="0.25">
      <c r="A120" s="6" t="str">
        <f>'Run File 11.21.24'!A73</f>
        <v xml:space="preserve">BAY 05/27/24 15:00 </v>
      </c>
      <c r="B120" s="16">
        <f>'Run File 11.21.24'!B73</f>
        <v>0.87785000000000002</v>
      </c>
      <c r="C120" s="16">
        <f>'Run File 11.21.24'!C73</f>
        <v>0.15041000000000004</v>
      </c>
      <c r="E120" s="11" t="str">
        <f t="shared" si="9"/>
        <v xml:space="preserve">BAY 05/27/24 15:00 </v>
      </c>
      <c r="F120" s="12">
        <f t="shared" si="10"/>
        <v>73.088995645549375</v>
      </c>
      <c r="G120" s="12">
        <f t="shared" si="11"/>
        <v>10.738432321674631</v>
      </c>
    </row>
    <row r="121" spans="1:7" x14ac:dyDescent="0.25">
      <c r="A121" s="6" t="str">
        <f>'Run File 11.21.24'!A74</f>
        <v xml:space="preserve">OCEAN 05/27/24 15:00 </v>
      </c>
      <c r="B121" s="16">
        <f>'Run File 11.21.24'!B74</f>
        <v>0.84624999999999995</v>
      </c>
      <c r="C121" s="16">
        <f>'Run File 11.21.24'!C74</f>
        <v>0.14865000000000006</v>
      </c>
      <c r="E121" s="11" t="str">
        <f t="shared" si="9"/>
        <v xml:space="preserve">OCEAN 05/27/24 15:00 </v>
      </c>
      <c r="F121" s="12">
        <f t="shared" si="10"/>
        <v>70.458008275953944</v>
      </c>
      <c r="G121" s="12">
        <f t="shared" si="11"/>
        <v>10.612778170447003</v>
      </c>
    </row>
    <row r="122" spans="1:7" x14ac:dyDescent="0.25">
      <c r="A122" s="6" t="str">
        <f>'Run File 11.21.24'!A75</f>
        <v xml:space="preserve">LAGOON 05/27/24 16:45 </v>
      </c>
      <c r="B122" s="16">
        <f>'Run File 11.21.24'!B75</f>
        <v>0.82314999999999994</v>
      </c>
      <c r="C122" s="16">
        <f>'Run File 11.21.24'!C75</f>
        <v>0.13967000000000004</v>
      </c>
      <c r="E122" s="11" t="str">
        <f t="shared" si="9"/>
        <v xml:space="preserve">LAGOON 05/27/24 16:45 </v>
      </c>
      <c r="F122" s="12">
        <f t="shared" si="10"/>
        <v>68.534723205142072</v>
      </c>
      <c r="G122" s="12">
        <f t="shared" si="11"/>
        <v>9.9716564215696817</v>
      </c>
    </row>
    <row r="123" spans="1:7" x14ac:dyDescent="0.25">
      <c r="A123" s="6" t="str">
        <f>'Run File 11.21.24'!A76</f>
        <v>BAY 06/06/24 14:25</v>
      </c>
      <c r="B123" s="16">
        <f>'Run File 11.21.24'!B76</f>
        <v>1.0080499999999999</v>
      </c>
      <c r="C123" s="16">
        <f>'Run File 11.21.24'!C76</f>
        <v>0.18880000000000002</v>
      </c>
      <c r="E123" s="11" t="str">
        <f t="shared" si="9"/>
        <v>BAY 06/06/24 14:25</v>
      </c>
      <c r="F123" s="12">
        <f t="shared" si="10"/>
        <v>83.929329681034403</v>
      </c>
      <c r="G123" s="12">
        <f t="shared" si="11"/>
        <v>13.479263495327238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6A71-D414-4ACA-A5D0-F58EF2F87B48}">
  <dimension ref="A1:G37"/>
  <sheetViews>
    <sheetView zoomScaleNormal="100" workbookViewId="0">
      <selection activeCell="D6" sqref="D6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29</v>
      </c>
      <c r="E3" s="30"/>
      <c r="F3" s="30"/>
      <c r="G3" s="31"/>
    </row>
    <row r="4" spans="1:7" ht="15.75" thickBot="1" x14ac:dyDescent="0.3">
      <c r="A4" s="1" t="s">
        <v>5</v>
      </c>
      <c r="B4" s="17">
        <v>45610</v>
      </c>
      <c r="C4" s="3"/>
      <c r="D4" s="32" t="s">
        <v>30</v>
      </c>
      <c r="E4" s="33"/>
      <c r="F4" s="33"/>
      <c r="G4" s="34"/>
    </row>
    <row r="5" spans="1:7" x14ac:dyDescent="0.25">
      <c r="A5" s="1" t="s">
        <v>6</v>
      </c>
      <c r="B5" s="18" t="s">
        <v>48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-4.9500000000000004E-3</v>
      </c>
      <c r="C14" s="20">
        <v>0</v>
      </c>
      <c r="E14" s="19" t="str">
        <f>A14</f>
        <v>DIW</v>
      </c>
      <c r="F14" s="21">
        <f>B14/12.0107*1000</f>
        <v>-0.41213251517396987</v>
      </c>
      <c r="G14" s="21">
        <f>C14/14.0067*1000</f>
        <v>0</v>
      </c>
    </row>
    <row r="15" spans="1:7" x14ac:dyDescent="0.25">
      <c r="A15" s="19" t="s">
        <v>27</v>
      </c>
      <c r="B15" s="20">
        <v>0.90400000000000003</v>
      </c>
      <c r="C15" s="20">
        <v>5.2859999999999997E-2</v>
      </c>
      <c r="E15" s="19" t="str">
        <f>A15</f>
        <v>LNSW</v>
      </c>
      <c r="F15" s="21">
        <f>B15/12.0107*1000</f>
        <v>75.266220952983588</v>
      </c>
      <c r="G15" s="21">
        <f>C15/14.0067*1000</f>
        <v>3.7739082010751992</v>
      </c>
    </row>
    <row r="16" spans="1:7" x14ac:dyDescent="0.25">
      <c r="A16" s="19" t="s">
        <v>31</v>
      </c>
      <c r="B16" s="20">
        <v>0.51323333333333299</v>
      </c>
      <c r="C16" s="20">
        <v>0.43385833333333301</v>
      </c>
      <c r="E16" s="19" t="str">
        <f>A16</f>
        <v>DSWR [B24,L05-24]</v>
      </c>
      <c r="F16" s="21">
        <f>B16/12.0107*1000</f>
        <v>42.731342330866063</v>
      </c>
      <c r="G16" s="21">
        <f>C16/14.0067*1000</f>
        <v>30.975057175018598</v>
      </c>
    </row>
    <row r="17" spans="1:7" x14ac:dyDescent="0.25">
      <c r="A17" s="6" t="s">
        <v>33</v>
      </c>
      <c r="B17" s="16">
        <v>1.6666333333333334</v>
      </c>
      <c r="C17" s="16">
        <v>0.16419833333333328</v>
      </c>
      <c r="D17" s="15"/>
      <c r="E17" s="6" t="str">
        <f t="shared" ref="E17:E18" si="0">A17</f>
        <v xml:space="preserve">F1_IN 06/02/24 12:00 </v>
      </c>
      <c r="F17" s="12">
        <f t="shared" ref="F17:F18" si="1">B17/12.0107*1000</f>
        <v>138.76238132109981</v>
      </c>
      <c r="G17" s="12">
        <f t="shared" ref="G17:G18" si="2">C17/14.0067*1000</f>
        <v>11.72284216363121</v>
      </c>
    </row>
    <row r="18" spans="1:7" x14ac:dyDescent="0.25">
      <c r="A18" s="6" t="s">
        <v>34</v>
      </c>
      <c r="B18" s="16">
        <v>1.7546333333333335</v>
      </c>
      <c r="C18" s="16">
        <v>0.16780833333333328</v>
      </c>
      <c r="D18" s="15"/>
      <c r="E18" s="6" t="str">
        <f t="shared" si="0"/>
        <v xml:space="preserve">F2_IN 06/02/24 12:00 </v>
      </c>
      <c r="F18" s="12">
        <f t="shared" si="1"/>
        <v>146.08918159085925</v>
      </c>
      <c r="G18" s="12">
        <f t="shared" si="2"/>
        <v>11.98057596245606</v>
      </c>
    </row>
    <row r="19" spans="1:7" x14ac:dyDescent="0.25">
      <c r="A19" s="6" t="s">
        <v>35</v>
      </c>
      <c r="B19" s="16">
        <v>2.5886333333333331</v>
      </c>
      <c r="C19" s="16">
        <v>0.21105833333333329</v>
      </c>
      <c r="D19" s="15"/>
      <c r="E19" s="6" t="str">
        <f t="shared" ref="E19:E33" si="3">A19</f>
        <v xml:space="preserve">T1 06/02/24 12:00 </v>
      </c>
      <c r="F19" s="12">
        <f t="shared" ref="F19:F37" si="4">B19/12.0107*1000</f>
        <v>215.52726596562508</v>
      </c>
      <c r="G19" s="12">
        <f t="shared" ref="G19:G37" si="5">C19/14.0067*1000</f>
        <v>15.068383940066774</v>
      </c>
    </row>
    <row r="20" spans="1:7" x14ac:dyDescent="0.25">
      <c r="A20" s="6" t="s">
        <v>36</v>
      </c>
      <c r="B20" s="16">
        <v>1.9146333333333332</v>
      </c>
      <c r="C20" s="16">
        <v>0.20005833333333328</v>
      </c>
      <c r="D20" s="15"/>
      <c r="E20" s="6" t="str">
        <f t="shared" si="3"/>
        <v xml:space="preserve">T2 06/02/24 12:00 </v>
      </c>
      <c r="F20" s="12">
        <f t="shared" si="4"/>
        <v>159.41063662678556</v>
      </c>
      <c r="G20" s="12">
        <f t="shared" si="5"/>
        <v>14.283045494894106</v>
      </c>
    </row>
    <row r="21" spans="1:7" x14ac:dyDescent="0.25">
      <c r="A21" s="6" t="s">
        <v>37</v>
      </c>
      <c r="B21" s="16">
        <v>2.4946333333333333</v>
      </c>
      <c r="C21" s="16">
        <v>0.36035833333333328</v>
      </c>
      <c r="E21" s="6" t="str">
        <f t="shared" si="3"/>
        <v xml:space="preserve">T3 06/02/24 12:00 </v>
      </c>
      <c r="F21" s="12">
        <f t="shared" si="4"/>
        <v>207.70091113201838</v>
      </c>
      <c r="G21" s="12">
        <f t="shared" si="5"/>
        <v>25.727568473183069</v>
      </c>
    </row>
    <row r="22" spans="1:7" x14ac:dyDescent="0.25">
      <c r="A22" s="36" t="s">
        <v>38</v>
      </c>
      <c r="B22" s="37">
        <v>3.1026333333333334</v>
      </c>
      <c r="C22" s="37">
        <v>0.20285833333333331</v>
      </c>
      <c r="D22" s="35"/>
      <c r="E22" s="36" t="str">
        <f t="shared" si="3"/>
        <v xml:space="preserve">T4 06/02/24 12:00 </v>
      </c>
      <c r="F22" s="38">
        <f t="shared" si="4"/>
        <v>258.32244026853834</v>
      </c>
      <c r="G22" s="38">
        <f t="shared" si="5"/>
        <v>14.482949826392606</v>
      </c>
    </row>
    <row r="23" spans="1:7" x14ac:dyDescent="0.25">
      <c r="A23" s="36" t="s">
        <v>39</v>
      </c>
      <c r="B23" s="37">
        <v>1.7076333333333333</v>
      </c>
      <c r="C23" s="37">
        <v>0.1860583333333333</v>
      </c>
      <c r="D23" s="35"/>
      <c r="E23" s="36" t="str">
        <f t="shared" si="3"/>
        <v xml:space="preserve">T5 06/02/24 12:00 </v>
      </c>
      <c r="F23" s="38">
        <f t="shared" si="4"/>
        <v>142.17600417405589</v>
      </c>
      <c r="G23" s="38">
        <f t="shared" si="5"/>
        <v>13.283523837401622</v>
      </c>
    </row>
    <row r="24" spans="1:7" x14ac:dyDescent="0.25">
      <c r="A24" s="36" t="s">
        <v>40</v>
      </c>
      <c r="B24" s="37">
        <v>2.2096333333333331</v>
      </c>
      <c r="C24" s="37">
        <v>0.27075833333333332</v>
      </c>
      <c r="D24" s="35"/>
      <c r="E24" s="36" t="str">
        <f t="shared" si="3"/>
        <v xml:space="preserve">T6 06/02/24 12:00 </v>
      </c>
      <c r="F24" s="38">
        <f t="shared" si="4"/>
        <v>183.97206934927465</v>
      </c>
      <c r="G24" s="38">
        <f t="shared" si="5"/>
        <v>19.330629865231163</v>
      </c>
    </row>
    <row r="25" spans="1:7" x14ac:dyDescent="0.25">
      <c r="A25" s="19" t="s">
        <v>28</v>
      </c>
      <c r="B25" s="20">
        <v>8.3599999999999994E-3</v>
      </c>
      <c r="C25" s="20">
        <v>0</v>
      </c>
      <c r="E25" s="19" t="str">
        <f t="shared" si="3"/>
        <v>DIW</v>
      </c>
      <c r="F25" s="21">
        <f t="shared" si="4"/>
        <v>0.69604602562714901</v>
      </c>
      <c r="G25" s="21">
        <f t="shared" si="5"/>
        <v>0</v>
      </c>
    </row>
    <row r="26" spans="1:7" x14ac:dyDescent="0.25">
      <c r="A26" s="19" t="s">
        <v>27</v>
      </c>
      <c r="B26" s="20">
        <v>0.90400000000000003</v>
      </c>
      <c r="C26" s="20">
        <v>4.8280000000000003E-2</v>
      </c>
      <c r="E26" s="19" t="str">
        <f t="shared" si="3"/>
        <v>LNSW</v>
      </c>
      <c r="F26" s="21">
        <f t="shared" si="4"/>
        <v>75.266220952983588</v>
      </c>
      <c r="G26" s="21">
        <f t="shared" si="5"/>
        <v>3.4469218302669438</v>
      </c>
    </row>
    <row r="27" spans="1:7" x14ac:dyDescent="0.25">
      <c r="A27" s="19" t="s">
        <v>31</v>
      </c>
      <c r="B27" s="20">
        <v>0.50663333333333338</v>
      </c>
      <c r="C27" s="20">
        <v>0.44665833333333299</v>
      </c>
      <c r="E27" s="19" t="str">
        <f t="shared" si="3"/>
        <v>DSWR [B24,L05-24]</v>
      </c>
      <c r="F27" s="21">
        <f t="shared" si="4"/>
        <v>42.181832310634135</v>
      </c>
      <c r="G27" s="21">
        <f t="shared" si="5"/>
        <v>31.888905547583153</v>
      </c>
    </row>
    <row r="28" spans="1:7" x14ac:dyDescent="0.25">
      <c r="A28" s="6" t="s">
        <v>41</v>
      </c>
      <c r="B28" s="16">
        <v>1.7666333333333335</v>
      </c>
      <c r="C28" s="16">
        <v>0.1943583333333333</v>
      </c>
      <c r="E28" s="6" t="str">
        <f t="shared" si="3"/>
        <v xml:space="preserve">T7 06/02/24 12:00 </v>
      </c>
      <c r="F28" s="12">
        <f t="shared" si="4"/>
        <v>147.08829071855376</v>
      </c>
      <c r="G28" s="12">
        <f t="shared" si="5"/>
        <v>13.876097391486454</v>
      </c>
    </row>
    <row r="29" spans="1:7" x14ac:dyDescent="0.25">
      <c r="A29" s="6" t="s">
        <v>42</v>
      </c>
      <c r="B29" s="16">
        <v>1.6506333333333334</v>
      </c>
      <c r="C29" s="16">
        <v>0.18945833333333328</v>
      </c>
      <c r="E29" s="6" t="str">
        <f t="shared" si="3"/>
        <v xml:space="preserve">T8 06/02/24 12:00 </v>
      </c>
      <c r="F29" s="12">
        <f t="shared" si="4"/>
        <v>137.4302358175072</v>
      </c>
      <c r="G29" s="12">
        <f t="shared" si="5"/>
        <v>13.526264811364081</v>
      </c>
    </row>
    <row r="30" spans="1:7" x14ac:dyDescent="0.25">
      <c r="A30" s="6" t="s">
        <v>43</v>
      </c>
      <c r="B30" s="16">
        <v>1.7396333333333334</v>
      </c>
      <c r="C30" s="16">
        <v>0.1759883333333333</v>
      </c>
      <c r="D30" s="15"/>
      <c r="E30" s="6" t="str">
        <f t="shared" si="3"/>
        <v xml:space="preserve">T9 06/02/24 12:00 </v>
      </c>
      <c r="F30" s="12">
        <f t="shared" si="4"/>
        <v>144.84029518124117</v>
      </c>
      <c r="G30" s="12">
        <f t="shared" si="5"/>
        <v>12.564582188048098</v>
      </c>
    </row>
    <row r="31" spans="1:7" x14ac:dyDescent="0.25">
      <c r="A31" s="6" t="s">
        <v>44</v>
      </c>
      <c r="B31" s="16">
        <v>2.1946333333333334</v>
      </c>
      <c r="C31" s="16">
        <v>0.31915833333333332</v>
      </c>
      <c r="D31" s="15"/>
      <c r="E31" s="6" t="str">
        <f t="shared" si="3"/>
        <v xml:space="preserve">T10 06/02/24 12:00 </v>
      </c>
      <c r="F31" s="12">
        <f t="shared" si="4"/>
        <v>182.7231829396566</v>
      </c>
      <c r="G31" s="12">
        <f t="shared" si="5"/>
        <v>22.786119023990896</v>
      </c>
    </row>
    <row r="32" spans="1:7" x14ac:dyDescent="0.25">
      <c r="A32" s="6" t="s">
        <v>45</v>
      </c>
      <c r="B32" s="16">
        <v>1.5456333333333334</v>
      </c>
      <c r="C32" s="16">
        <v>0.19555833333333328</v>
      </c>
      <c r="D32" s="15"/>
      <c r="E32" s="6" t="str">
        <f t="shared" si="3"/>
        <v xml:space="preserve">T11 06/02/24 12:00 </v>
      </c>
      <c r="F32" s="12">
        <f t="shared" si="4"/>
        <v>128.68803095018055</v>
      </c>
      <c r="G32" s="12">
        <f t="shared" si="5"/>
        <v>13.961770676414378</v>
      </c>
    </row>
    <row r="33" spans="1:7" x14ac:dyDescent="0.25">
      <c r="A33" s="6" t="s">
        <v>46</v>
      </c>
      <c r="B33" s="16">
        <v>1.8316333333333334</v>
      </c>
      <c r="C33" s="16">
        <v>0.2422583333333333</v>
      </c>
      <c r="E33" s="6" t="str">
        <f t="shared" si="3"/>
        <v xml:space="preserve">T12 06/02/24 12:00 </v>
      </c>
      <c r="F33" s="12">
        <f t="shared" si="4"/>
        <v>152.50013182689881</v>
      </c>
      <c r="G33" s="12">
        <f t="shared" si="5"/>
        <v>17.295889348192887</v>
      </c>
    </row>
    <row r="34" spans="1:7" x14ac:dyDescent="0.25">
      <c r="A34" s="6" t="s">
        <v>47</v>
      </c>
      <c r="B34" s="16">
        <v>1.7776333333333332</v>
      </c>
      <c r="C34" s="16">
        <v>0.19555833333333328</v>
      </c>
      <c r="E34" s="6" t="str">
        <f>A34</f>
        <v xml:space="preserve">T13 06/02/24 12:00 </v>
      </c>
      <c r="F34" s="12">
        <f t="shared" si="4"/>
        <v>148.00414075227366</v>
      </c>
      <c r="G34" s="12">
        <f t="shared" si="5"/>
        <v>13.961770676414378</v>
      </c>
    </row>
    <row r="35" spans="1:7" x14ac:dyDescent="0.25">
      <c r="A35" s="19" t="s">
        <v>28</v>
      </c>
      <c r="B35" s="20">
        <v>-8.7600000000000004E-3</v>
      </c>
      <c r="C35" s="20">
        <v>0</v>
      </c>
      <c r="D35" s="15"/>
      <c r="E35" s="19" t="str">
        <f t="shared" ref="E35:E37" si="6">A35</f>
        <v>DIW</v>
      </c>
      <c r="F35" s="21">
        <f t="shared" si="4"/>
        <v>-0.72934966321696482</v>
      </c>
      <c r="G35" s="21">
        <f t="shared" si="5"/>
        <v>0</v>
      </c>
    </row>
    <row r="36" spans="1:7" x14ac:dyDescent="0.25">
      <c r="A36" s="19" t="s">
        <v>27</v>
      </c>
      <c r="B36" s="20">
        <v>0.8609</v>
      </c>
      <c r="C36" s="20">
        <v>5.7049999999999997E-2</v>
      </c>
      <c r="D36" s="15"/>
      <c r="E36" s="19" t="str">
        <f t="shared" si="6"/>
        <v>LNSW</v>
      </c>
      <c r="F36" s="21">
        <f t="shared" si="4"/>
        <v>71.677754002680956</v>
      </c>
      <c r="G36" s="21">
        <f t="shared" si="5"/>
        <v>4.073050754281879</v>
      </c>
    </row>
    <row r="37" spans="1:7" x14ac:dyDescent="0.25">
      <c r="A37" s="19" t="s">
        <v>31</v>
      </c>
      <c r="B37" s="20">
        <v>0.51833333333333331</v>
      </c>
      <c r="C37" s="20">
        <v>0.44015833333333332</v>
      </c>
      <c r="D37" s="15"/>
      <c r="E37" s="19" t="str">
        <f t="shared" si="6"/>
        <v>DSWR [B24,L05-24]</v>
      </c>
      <c r="F37" s="21">
        <f t="shared" si="4"/>
        <v>43.155963710136241</v>
      </c>
      <c r="G37" s="21">
        <f t="shared" si="5"/>
        <v>31.424841920890241</v>
      </c>
    </row>
  </sheetData>
  <mergeCells count="3">
    <mergeCell ref="D1:G2"/>
    <mergeCell ref="D3:G3"/>
    <mergeCell ref="D4:G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BC0C-B63E-4F23-AD13-7E3E45EECCC7}">
  <dimension ref="A1:G78"/>
  <sheetViews>
    <sheetView topLeftCell="A15" zoomScaleNormal="100" workbookViewId="0">
      <selection activeCell="A18" sqref="A18:XFD18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29</v>
      </c>
      <c r="E3" s="30"/>
      <c r="F3" s="30"/>
      <c r="G3" s="31"/>
    </row>
    <row r="4" spans="1:7" ht="15.75" thickBot="1" x14ac:dyDescent="0.3">
      <c r="A4" s="1" t="s">
        <v>5</v>
      </c>
      <c r="B4" s="17">
        <v>45615</v>
      </c>
      <c r="C4" s="3"/>
      <c r="D4" s="32" t="s">
        <v>30</v>
      </c>
      <c r="E4" s="33"/>
      <c r="F4" s="33"/>
      <c r="G4" s="34"/>
    </row>
    <row r="5" spans="1:7" x14ac:dyDescent="0.25">
      <c r="A5" s="1" t="s">
        <v>6</v>
      </c>
      <c r="B5" s="18" t="s">
        <v>48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4.9300000000000004E-3</v>
      </c>
      <c r="C14" s="20">
        <v>0</v>
      </c>
      <c r="E14" s="19" t="str">
        <f>A14</f>
        <v>DIW</v>
      </c>
      <c r="F14" s="21">
        <f>B14/12.0107*1000</f>
        <v>0.4104673332944791</v>
      </c>
      <c r="G14" s="21">
        <f>C14/14.0067*1000</f>
        <v>0</v>
      </c>
    </row>
    <row r="15" spans="1:7" x14ac:dyDescent="0.25">
      <c r="A15" s="19" t="s">
        <v>27</v>
      </c>
      <c r="B15" s="20">
        <v>0.89070000000000005</v>
      </c>
      <c r="C15" s="20">
        <v>5.8110000000000002E-2</v>
      </c>
      <c r="E15" s="19" t="str">
        <f>A15</f>
        <v>LNSW</v>
      </c>
      <c r="F15" s="21">
        <f>B15/12.0107*1000</f>
        <v>74.158875003122219</v>
      </c>
      <c r="G15" s="21">
        <f>C15/14.0067*1000</f>
        <v>4.1487288226348822</v>
      </c>
    </row>
    <row r="16" spans="1:7" x14ac:dyDescent="0.25">
      <c r="A16" s="19" t="s">
        <v>31</v>
      </c>
      <c r="B16" s="20">
        <v>0.505</v>
      </c>
      <c r="C16" s="20">
        <v>0.44481999999999994</v>
      </c>
      <c r="E16" s="19" t="str">
        <f>A16</f>
        <v>DSWR [B24,L05-24]</v>
      </c>
      <c r="F16" s="21">
        <f>B16/12.0107*1000</f>
        <v>42.045842457142378</v>
      </c>
      <c r="G16" s="21">
        <f>C16/14.0067*1000</f>
        <v>31.757658834700532</v>
      </c>
    </row>
    <row r="17" spans="1:7" x14ac:dyDescent="0.25">
      <c r="A17" s="6" t="s">
        <v>49</v>
      </c>
      <c r="B17" s="16">
        <v>1.6704000000000001</v>
      </c>
      <c r="C17" s="16">
        <v>0.15783999999999998</v>
      </c>
      <c r="D17" s="15"/>
      <c r="E17" s="6" t="str">
        <f>A17</f>
        <v xml:space="preserve">T14 06/02/24 12:00 </v>
      </c>
      <c r="F17" s="12">
        <f>B17/12.0107*1000</f>
        <v>139.07599057507059</v>
      </c>
      <c r="G17" s="12">
        <f>C17/14.0067*1000</f>
        <v>11.26889274418671</v>
      </c>
    </row>
    <row r="18" spans="1:7" x14ac:dyDescent="0.25">
      <c r="A18" s="6" t="s">
        <v>50</v>
      </c>
      <c r="B18" s="16">
        <v>1.5953999999999999</v>
      </c>
      <c r="C18" s="16">
        <v>0.15939999999999996</v>
      </c>
      <c r="D18" s="15"/>
      <c r="E18" s="6" t="str">
        <f t="shared" ref="E18:E35" si="0">A18</f>
        <v xml:space="preserve">T15 06/02/24 12:00 </v>
      </c>
      <c r="F18" s="12">
        <f t="shared" ref="F18:F52" si="1">B18/12.0107*1000</f>
        <v>132.8315585269801</v>
      </c>
      <c r="G18" s="12">
        <f t="shared" ref="G18:G52" si="2">C18/14.0067*1000</f>
        <v>11.380268014593014</v>
      </c>
    </row>
    <row r="19" spans="1:7" x14ac:dyDescent="0.25">
      <c r="A19" s="6" t="s">
        <v>51</v>
      </c>
      <c r="B19" s="16">
        <v>1.6824000000000001</v>
      </c>
      <c r="C19" s="16">
        <v>0.17691999999999997</v>
      </c>
      <c r="D19" s="15"/>
      <c r="E19" s="6" t="str">
        <f t="shared" si="0"/>
        <v xml:space="preserve">T16 06/02/24 12:00 </v>
      </c>
      <c r="F19" s="12">
        <f t="shared" si="1"/>
        <v>140.07509970276504</v>
      </c>
      <c r="G19" s="12">
        <f t="shared" si="2"/>
        <v>12.631097974540753</v>
      </c>
    </row>
    <row r="20" spans="1:7" x14ac:dyDescent="0.25">
      <c r="A20" s="6" t="s">
        <v>52</v>
      </c>
      <c r="B20" s="16">
        <v>1.3573999999999999</v>
      </c>
      <c r="C20" s="16">
        <v>0.22561999999999996</v>
      </c>
      <c r="D20" s="15"/>
      <c r="E20" s="6" t="str">
        <f t="shared" si="0"/>
        <v xml:space="preserve">F1_IN 06/02/24 18:00 </v>
      </c>
      <c r="F20" s="12">
        <f t="shared" si="1"/>
        <v>113.01589416103972</v>
      </c>
      <c r="G20" s="12">
        <f t="shared" si="2"/>
        <v>16.108005454532467</v>
      </c>
    </row>
    <row r="21" spans="1:7" x14ac:dyDescent="0.25">
      <c r="A21" s="6" t="s">
        <v>53</v>
      </c>
      <c r="B21" s="16">
        <v>1.2484</v>
      </c>
      <c r="C21" s="16">
        <v>0.15195999999999996</v>
      </c>
      <c r="D21" s="15"/>
      <c r="E21" s="6" t="str">
        <f t="shared" si="0"/>
        <v xml:space="preserve">F2_IN 06/02/24 18:00 </v>
      </c>
      <c r="F21" s="12">
        <f t="shared" si="1"/>
        <v>103.94065291781494</v>
      </c>
      <c r="G21" s="12">
        <f t="shared" si="2"/>
        <v>10.849093648039863</v>
      </c>
    </row>
    <row r="22" spans="1:7" x14ac:dyDescent="0.25">
      <c r="A22" s="6" t="s">
        <v>54</v>
      </c>
      <c r="B22" s="16">
        <v>1.4204000000000001</v>
      </c>
      <c r="C22" s="16">
        <v>0.15566999999999998</v>
      </c>
      <c r="D22" s="15"/>
      <c r="E22" s="6" t="str">
        <f t="shared" si="0"/>
        <v xml:space="preserve">T1 06/02/24 18:00 </v>
      </c>
      <c r="F22" s="12">
        <f t="shared" si="1"/>
        <v>118.26121708143573</v>
      </c>
      <c r="G22" s="12">
        <f t="shared" si="2"/>
        <v>11.113966887275375</v>
      </c>
    </row>
    <row r="23" spans="1:7" x14ac:dyDescent="0.25">
      <c r="A23" s="6" t="s">
        <v>55</v>
      </c>
      <c r="B23" s="16">
        <v>1.2714000000000001</v>
      </c>
      <c r="C23" s="16">
        <v>0.15448999999999996</v>
      </c>
      <c r="E23" s="6" t="str">
        <f t="shared" si="0"/>
        <v xml:space="preserve">T2 06/02/24 18:00 </v>
      </c>
      <c r="F23" s="12">
        <f t="shared" si="1"/>
        <v>105.85561207922936</v>
      </c>
      <c r="G23" s="12">
        <f t="shared" si="2"/>
        <v>11.029721490429576</v>
      </c>
    </row>
    <row r="24" spans="1:7" x14ac:dyDescent="0.25">
      <c r="A24" s="19" t="s">
        <v>28</v>
      </c>
      <c r="B24" s="20">
        <v>8.1899999999999994E-3</v>
      </c>
      <c r="C24" s="20">
        <v>0</v>
      </c>
      <c r="E24" s="19" t="str">
        <f t="shared" si="0"/>
        <v>DIW</v>
      </c>
      <c r="F24" s="21">
        <f t="shared" si="1"/>
        <v>0.6818919796514773</v>
      </c>
      <c r="G24" s="21">
        <f t="shared" si="2"/>
        <v>0</v>
      </c>
    </row>
    <row r="25" spans="1:7" x14ac:dyDescent="0.25">
      <c r="A25" s="19" t="s">
        <v>27</v>
      </c>
      <c r="B25" s="20">
        <v>0.8478</v>
      </c>
      <c r="C25" s="20">
        <v>5.3519999999999998E-2</v>
      </c>
      <c r="E25" s="19" t="str">
        <f t="shared" si="0"/>
        <v>LNSW</v>
      </c>
      <c r="F25" s="21">
        <f t="shared" si="1"/>
        <v>70.587059871614485</v>
      </c>
      <c r="G25" s="21">
        <f t="shared" si="2"/>
        <v>3.8210285077855595</v>
      </c>
    </row>
    <row r="26" spans="1:7" x14ac:dyDescent="0.25">
      <c r="A26" s="19" t="s">
        <v>31</v>
      </c>
      <c r="B26" s="20">
        <v>0.50970000000000004</v>
      </c>
      <c r="C26" s="20">
        <v>0.44291999999999998</v>
      </c>
      <c r="E26" s="19" t="str">
        <f t="shared" si="0"/>
        <v>DSWR [B24,L05-24]</v>
      </c>
      <c r="F26" s="21">
        <f t="shared" si="1"/>
        <v>42.437160198822717</v>
      </c>
      <c r="G26" s="21">
        <f t="shared" si="2"/>
        <v>31.622009466897985</v>
      </c>
    </row>
    <row r="27" spans="1:7" x14ac:dyDescent="0.25">
      <c r="A27" s="6" t="s">
        <v>56</v>
      </c>
      <c r="B27" s="16">
        <v>1.2043999999999999</v>
      </c>
      <c r="C27" s="16">
        <v>0.16681999999999997</v>
      </c>
      <c r="E27" s="6" t="str">
        <f t="shared" si="0"/>
        <v xml:space="preserve">T3 06/02/24 18:00 </v>
      </c>
      <c r="F27" s="12">
        <f t="shared" si="1"/>
        <v>100.27725278293521</v>
      </c>
      <c r="G27" s="12">
        <f t="shared" si="2"/>
        <v>11.910014493064031</v>
      </c>
    </row>
    <row r="28" spans="1:7" x14ac:dyDescent="0.25">
      <c r="A28" s="6" t="s">
        <v>57</v>
      </c>
      <c r="B28" s="16">
        <v>1.5374000000000001</v>
      </c>
      <c r="C28" s="16">
        <v>0.15007999999999996</v>
      </c>
      <c r="E28" s="6" t="str">
        <f t="shared" si="0"/>
        <v xml:space="preserve">T4 06/02/24 18:00 </v>
      </c>
      <c r="F28" s="12">
        <f t="shared" si="1"/>
        <v>128.00253107645685</v>
      </c>
      <c r="G28" s="12">
        <f t="shared" si="2"/>
        <v>10.714872168319443</v>
      </c>
    </row>
    <row r="29" spans="1:7" x14ac:dyDescent="0.25">
      <c r="A29" s="6" t="s">
        <v>58</v>
      </c>
      <c r="B29" s="16">
        <v>1.2934000000000001</v>
      </c>
      <c r="C29" s="16">
        <v>0.15910999999999997</v>
      </c>
      <c r="E29" s="6" t="str">
        <f t="shared" si="0"/>
        <v xml:space="preserve">T5 06/02/24 18:00 </v>
      </c>
      <c r="F29" s="12">
        <f t="shared" si="1"/>
        <v>107.68731214666923</v>
      </c>
      <c r="G29" s="12">
        <f t="shared" si="2"/>
        <v>11.359563637402097</v>
      </c>
    </row>
    <row r="30" spans="1:7" x14ac:dyDescent="0.25">
      <c r="A30" s="6" t="s">
        <v>59</v>
      </c>
      <c r="B30" s="16">
        <v>1.5464</v>
      </c>
      <c r="C30" s="16">
        <v>0.22191999999999995</v>
      </c>
      <c r="E30" s="6" t="str">
        <f t="shared" si="0"/>
        <v>T6 06/02/24 18:00</v>
      </c>
      <c r="F30" s="12">
        <f t="shared" si="1"/>
        <v>128.75186292222767</v>
      </c>
      <c r="G30" s="12">
        <f t="shared" si="2"/>
        <v>15.843846159338026</v>
      </c>
    </row>
    <row r="31" spans="1:7" x14ac:dyDescent="0.25">
      <c r="A31" s="6" t="s">
        <v>60</v>
      </c>
      <c r="B31" s="16">
        <v>1.3214000000000001</v>
      </c>
      <c r="C31" s="16">
        <v>0.16376999999999997</v>
      </c>
      <c r="E31" s="6" t="str">
        <f t="shared" si="0"/>
        <v xml:space="preserve">T7 06/02/24 18:00 </v>
      </c>
      <c r="F31" s="12">
        <f t="shared" si="1"/>
        <v>110.01856677795634</v>
      </c>
      <c r="G31" s="12">
        <f t="shared" si="2"/>
        <v>11.692261560538883</v>
      </c>
    </row>
    <row r="32" spans="1:7" x14ac:dyDescent="0.25">
      <c r="A32" s="6" t="s">
        <v>61</v>
      </c>
      <c r="B32" s="16">
        <v>5.1504000000000003</v>
      </c>
      <c r="C32" s="16">
        <v>0.16904999999999998</v>
      </c>
      <c r="D32" s="15"/>
      <c r="E32" s="6" t="str">
        <f t="shared" si="0"/>
        <v xml:space="preserve">T8 06/02/24 18:00 </v>
      </c>
      <c r="F32" s="12">
        <f t="shared" si="1"/>
        <v>428.8176376064676</v>
      </c>
      <c r="G32" s="12">
        <f t="shared" si="2"/>
        <v>12.069224014221762</v>
      </c>
    </row>
    <row r="33" spans="1:7" x14ac:dyDescent="0.25">
      <c r="A33" s="6" t="s">
        <v>62</v>
      </c>
      <c r="B33" s="16">
        <v>1.6884000000000001</v>
      </c>
      <c r="C33" s="16">
        <v>0.31971999999999995</v>
      </c>
      <c r="D33" s="15"/>
      <c r="E33" s="6" t="str">
        <f t="shared" si="0"/>
        <v>T9 06/02/24 18:00</v>
      </c>
      <c r="F33" s="12">
        <f t="shared" si="1"/>
        <v>140.57465426661227</v>
      </c>
      <c r="G33" s="12">
        <f t="shared" si="2"/>
        <v>22.826218880964106</v>
      </c>
    </row>
    <row r="34" spans="1:7" x14ac:dyDescent="0.25">
      <c r="A34" s="6" t="s">
        <v>63</v>
      </c>
      <c r="B34" s="16">
        <v>1.4823999999999999</v>
      </c>
      <c r="C34" s="16">
        <v>0.24721999999999997</v>
      </c>
      <c r="D34" s="15"/>
      <c r="E34" s="6" t="str">
        <f t="shared" si="0"/>
        <v xml:space="preserve">T10 06/02/24 18:00 </v>
      </c>
      <c r="F34" s="12">
        <f t="shared" si="1"/>
        <v>123.42328090785716</v>
      </c>
      <c r="G34" s="12">
        <f t="shared" si="2"/>
        <v>17.650124583235165</v>
      </c>
    </row>
    <row r="35" spans="1:7" x14ac:dyDescent="0.25">
      <c r="A35" s="6" t="s">
        <v>64</v>
      </c>
      <c r="B35" s="16">
        <v>4.6584000000000003</v>
      </c>
      <c r="C35" s="16">
        <v>0.23021999999999995</v>
      </c>
      <c r="E35" s="6" t="str">
        <f t="shared" si="0"/>
        <v xml:space="preserve">T11 06/02/24 18:00 </v>
      </c>
      <c r="F35" s="12">
        <f t="shared" si="1"/>
        <v>387.85416337099423</v>
      </c>
      <c r="G35" s="12">
        <f t="shared" si="2"/>
        <v>16.436419713422861</v>
      </c>
    </row>
    <row r="36" spans="1:7" x14ac:dyDescent="0.25">
      <c r="A36" s="6" t="s">
        <v>65</v>
      </c>
      <c r="B36" s="16">
        <v>1.4794</v>
      </c>
      <c r="C36" s="16">
        <v>0.21691999999999997</v>
      </c>
      <c r="E36" s="6" t="str">
        <f>A36</f>
        <v xml:space="preserve">T12 06/02/24 18:00 </v>
      </c>
      <c r="F36" s="12">
        <f t="shared" si="1"/>
        <v>123.17350362593355</v>
      </c>
      <c r="G36" s="12">
        <f t="shared" si="2"/>
        <v>15.486874138804998</v>
      </c>
    </row>
    <row r="37" spans="1:7" x14ac:dyDescent="0.25">
      <c r="A37" s="19" t="s">
        <v>28</v>
      </c>
      <c r="B37" s="20">
        <v>6.5799999999999999E-3</v>
      </c>
      <c r="C37" s="20">
        <v>0</v>
      </c>
      <c r="E37" s="19" t="str">
        <f t="shared" ref="E37:E52" si="3">A37</f>
        <v>DIW</v>
      </c>
      <c r="F37" s="21">
        <f t="shared" si="1"/>
        <v>0.54784483835246911</v>
      </c>
      <c r="G37" s="21">
        <f t="shared" si="2"/>
        <v>0</v>
      </c>
    </row>
    <row r="38" spans="1:7" x14ac:dyDescent="0.25">
      <c r="A38" s="19" t="s">
        <v>27</v>
      </c>
      <c r="B38" s="20">
        <v>0.89459999999999995</v>
      </c>
      <c r="C38" s="20">
        <v>5.6910000000000002E-2</v>
      </c>
      <c r="D38" s="15"/>
      <c r="E38" s="19" t="str">
        <f t="shared" si="3"/>
        <v>LNSW</v>
      </c>
      <c r="F38" s="21">
        <f t="shared" si="1"/>
        <v>74.483585469622909</v>
      </c>
      <c r="G38" s="21">
        <f t="shared" si="2"/>
        <v>4.0630555377069548</v>
      </c>
    </row>
    <row r="39" spans="1:7" x14ac:dyDescent="0.25">
      <c r="A39" s="19" t="s">
        <v>31</v>
      </c>
      <c r="B39" s="20">
        <v>0.50929999999999997</v>
      </c>
      <c r="C39" s="20">
        <v>0.44121999999999995</v>
      </c>
      <c r="D39" s="15"/>
      <c r="E39" s="19" t="str">
        <f t="shared" si="3"/>
        <v>DSWR [B24,L05-24]</v>
      </c>
      <c r="F39" s="21">
        <f t="shared" si="1"/>
        <v>42.403856561232899</v>
      </c>
      <c r="G39" s="21">
        <f t="shared" si="2"/>
        <v>31.500638979916751</v>
      </c>
    </row>
    <row r="40" spans="1:7" x14ac:dyDescent="0.25">
      <c r="A40" s="6" t="s">
        <v>66</v>
      </c>
      <c r="B40" s="16">
        <v>1.5764</v>
      </c>
      <c r="C40" s="16">
        <v>0.21841999999999995</v>
      </c>
      <c r="D40" s="15"/>
      <c r="E40" s="6" t="str">
        <f t="shared" si="3"/>
        <v xml:space="preserve">T13 06/02/24 18:00 </v>
      </c>
      <c r="F40" s="12">
        <f t="shared" si="1"/>
        <v>131.24963574146386</v>
      </c>
      <c r="G40" s="12">
        <f t="shared" si="2"/>
        <v>15.593965744964905</v>
      </c>
    </row>
    <row r="41" spans="1:7" x14ac:dyDescent="0.25">
      <c r="A41" s="6" t="s">
        <v>67</v>
      </c>
      <c r="B41" s="16">
        <v>1.2354000000000001</v>
      </c>
      <c r="C41" s="16">
        <v>0.16450999999999996</v>
      </c>
      <c r="D41" s="15"/>
      <c r="E41" s="6" t="str">
        <f t="shared" si="3"/>
        <v>T14 06/02/24 18:00</v>
      </c>
      <c r="F41" s="12">
        <f t="shared" si="1"/>
        <v>102.85828469614594</v>
      </c>
      <c r="G41" s="12">
        <f t="shared" si="2"/>
        <v>11.745093419577771</v>
      </c>
    </row>
    <row r="42" spans="1:7" x14ac:dyDescent="0.25">
      <c r="A42" s="6" t="s">
        <v>68</v>
      </c>
      <c r="B42" s="16">
        <v>1.5494000000000001</v>
      </c>
      <c r="C42" s="16">
        <v>0.25381999999999993</v>
      </c>
      <c r="D42" s="15"/>
      <c r="E42" s="6" t="str">
        <f t="shared" si="3"/>
        <v xml:space="preserve">T15 06/02/24 18:00 </v>
      </c>
      <c r="F42" s="12">
        <f t="shared" si="1"/>
        <v>129.0016402041513</v>
      </c>
      <c r="G42" s="12">
        <f t="shared" si="2"/>
        <v>18.121327650338763</v>
      </c>
    </row>
    <row r="43" spans="1:7" x14ac:dyDescent="0.25">
      <c r="A43" s="6" t="s">
        <v>69</v>
      </c>
      <c r="B43" s="16">
        <v>1.6133999999999999</v>
      </c>
      <c r="C43" s="16">
        <v>0.28201999999999994</v>
      </c>
      <c r="D43" s="15"/>
      <c r="E43" s="6" t="str">
        <f t="shared" si="3"/>
        <v xml:space="preserve">T16 06/02/24 18:00 </v>
      </c>
      <c r="F43" s="12">
        <f t="shared" si="1"/>
        <v>134.33022221852181</v>
      </c>
      <c r="G43" s="12">
        <f t="shared" si="2"/>
        <v>20.134649846145056</v>
      </c>
    </row>
    <row r="44" spans="1:7" x14ac:dyDescent="0.25">
      <c r="A44" s="6" t="s">
        <v>70</v>
      </c>
      <c r="B44" s="16">
        <v>3.8264</v>
      </c>
      <c r="C44" s="16">
        <v>0.16383999999999996</v>
      </c>
      <c r="E44" s="6" t="str">
        <f t="shared" si="3"/>
        <v xml:space="preserve">F1_IN 06/03/24 0:00 </v>
      </c>
      <c r="F44" s="12">
        <f t="shared" si="1"/>
        <v>318.58259718417742</v>
      </c>
      <c r="G44" s="12">
        <f t="shared" si="2"/>
        <v>11.697259168826344</v>
      </c>
    </row>
    <row r="45" spans="1:7" x14ac:dyDescent="0.25">
      <c r="A45" s="6" t="s">
        <v>71</v>
      </c>
      <c r="B45" s="16">
        <v>3.8683999999999998</v>
      </c>
      <c r="C45" s="16">
        <v>0.15446999999999994</v>
      </c>
      <c r="E45" s="6" t="str">
        <f t="shared" si="3"/>
        <v xml:space="preserve">F2_IN 06/03/24 0:00 </v>
      </c>
      <c r="F45" s="12">
        <f t="shared" si="1"/>
        <v>322.07947913110809</v>
      </c>
      <c r="G45" s="12">
        <f t="shared" si="2"/>
        <v>11.028293602347444</v>
      </c>
    </row>
    <row r="46" spans="1:7" x14ac:dyDescent="0.25">
      <c r="A46" s="6" t="s">
        <v>72</v>
      </c>
      <c r="B46" s="16">
        <v>1.8994</v>
      </c>
      <c r="C46" s="16">
        <v>0.28341999999999995</v>
      </c>
      <c r="E46" s="6" t="str">
        <f t="shared" si="3"/>
        <v xml:space="preserve">T1 06/03/24 0:00 </v>
      </c>
      <c r="F46" s="12">
        <f t="shared" si="1"/>
        <v>158.14232309524007</v>
      </c>
      <c r="G46" s="12">
        <f t="shared" si="2"/>
        <v>20.234602011894303</v>
      </c>
    </row>
    <row r="47" spans="1:7" x14ac:dyDescent="0.25">
      <c r="A47" s="6" t="s">
        <v>73</v>
      </c>
      <c r="B47" s="16">
        <v>4.2644000000000002</v>
      </c>
      <c r="C47" s="16">
        <v>0.16919999999999996</v>
      </c>
      <c r="E47" s="6" t="str">
        <f t="shared" si="3"/>
        <v xml:space="preserve">T2 06/03/24 0:00 </v>
      </c>
      <c r="F47" s="12">
        <f t="shared" si="1"/>
        <v>355.05008034502572</v>
      </c>
      <c r="G47" s="12">
        <f t="shared" si="2"/>
        <v>12.079933174837754</v>
      </c>
    </row>
    <row r="48" spans="1:7" x14ac:dyDescent="0.25">
      <c r="A48" s="6" t="s">
        <v>74</v>
      </c>
      <c r="B48" s="16">
        <v>4.0453999999999999</v>
      </c>
      <c r="C48" s="16">
        <v>0.18141999999999997</v>
      </c>
      <c r="E48" s="6" t="str">
        <f t="shared" si="3"/>
        <v xml:space="preserve">T3 06/03/24 0:00 </v>
      </c>
      <c r="F48" s="12">
        <f t="shared" si="1"/>
        <v>336.81633876460154</v>
      </c>
      <c r="G48" s="12">
        <f t="shared" si="2"/>
        <v>12.952372793020482</v>
      </c>
    </row>
    <row r="49" spans="1:7" x14ac:dyDescent="0.25">
      <c r="A49" s="6" t="s">
        <v>75</v>
      </c>
      <c r="B49" s="16">
        <v>1.3054000000000001</v>
      </c>
      <c r="C49" s="16">
        <v>0.14249999999999996</v>
      </c>
      <c r="E49" s="6" t="str">
        <f t="shared" si="3"/>
        <v xml:space="preserve">T4 06/03/24 0:00 </v>
      </c>
      <c r="F49" s="12">
        <f t="shared" si="1"/>
        <v>108.68642127436371</v>
      </c>
      <c r="G49" s="12">
        <f t="shared" si="2"/>
        <v>10.17370258519137</v>
      </c>
    </row>
    <row r="50" spans="1:7" x14ac:dyDescent="0.25">
      <c r="A50" s="19" t="s">
        <v>28</v>
      </c>
      <c r="B50" s="20">
        <v>8.3000000000000001E-4</v>
      </c>
      <c r="C50" s="20">
        <v>0</v>
      </c>
      <c r="E50" s="19" t="str">
        <f t="shared" si="3"/>
        <v>DIW</v>
      </c>
      <c r="F50" s="21">
        <f t="shared" si="1"/>
        <v>6.9105047998867686E-2</v>
      </c>
      <c r="G50" s="21">
        <f t="shared" si="2"/>
        <v>0</v>
      </c>
    </row>
    <row r="51" spans="1:7" x14ac:dyDescent="0.25">
      <c r="A51" s="19" t="s">
        <v>27</v>
      </c>
      <c r="B51" s="20">
        <v>0.92930000000000001</v>
      </c>
      <c r="C51" s="20">
        <v>7.0059999999999997E-2</v>
      </c>
      <c r="D51" s="15"/>
      <c r="E51" s="19" t="str">
        <f t="shared" si="3"/>
        <v>LNSW</v>
      </c>
      <c r="F51" s="21">
        <f t="shared" si="1"/>
        <v>77.372676030539438</v>
      </c>
      <c r="G51" s="21">
        <f t="shared" si="2"/>
        <v>5.0018919517088252</v>
      </c>
    </row>
    <row r="52" spans="1:7" x14ac:dyDescent="0.25">
      <c r="A52" s="19" t="s">
        <v>31</v>
      </c>
      <c r="B52" s="20">
        <v>0.51400000000000001</v>
      </c>
      <c r="C52" s="20">
        <v>0.44551999999999997</v>
      </c>
      <c r="D52" s="15"/>
      <c r="E52" s="19" t="str">
        <f t="shared" si="3"/>
        <v>DSWR [B24,L05-24]</v>
      </c>
      <c r="F52" s="21">
        <f t="shared" si="1"/>
        <v>42.795174302913232</v>
      </c>
      <c r="G52" s="21">
        <f t="shared" si="2"/>
        <v>31.807634917575157</v>
      </c>
    </row>
    <row r="53" spans="1:7" x14ac:dyDescent="0.25">
      <c r="A53" s="6" t="s">
        <v>76</v>
      </c>
      <c r="B53" s="16">
        <v>3.7404000000000002</v>
      </c>
      <c r="C53" s="16">
        <v>0.15830999999999995</v>
      </c>
      <c r="E53" s="6" t="str">
        <f t="shared" ref="E53:E78" si="4">A53</f>
        <v xml:space="preserve">T5 06/03/24 0:00 </v>
      </c>
      <c r="F53" s="12">
        <f t="shared" ref="F53:F78" si="5">B53/12.0107*1000</f>
        <v>311.42231510236707</v>
      </c>
      <c r="G53" s="12">
        <f t="shared" ref="G53:G78" si="6">C53/14.0067*1000</f>
        <v>11.30244811411681</v>
      </c>
    </row>
    <row r="54" spans="1:7" x14ac:dyDescent="0.25">
      <c r="A54" s="6" t="s">
        <v>77</v>
      </c>
      <c r="B54" s="16">
        <v>1.1394</v>
      </c>
      <c r="C54" s="16">
        <v>0.14534999999999998</v>
      </c>
      <c r="E54" s="6" t="str">
        <f t="shared" si="4"/>
        <v xml:space="preserve">T6 06/03/24 0:00 </v>
      </c>
      <c r="F54" s="12">
        <f t="shared" si="5"/>
        <v>94.865411674590163</v>
      </c>
      <c r="G54" s="12">
        <f t="shared" si="6"/>
        <v>10.377176636895198</v>
      </c>
    </row>
    <row r="55" spans="1:7" x14ac:dyDescent="0.25">
      <c r="A55" s="6" t="s">
        <v>78</v>
      </c>
      <c r="B55" s="16">
        <v>1.1093999999999999</v>
      </c>
      <c r="C55" s="16">
        <v>0.14184999999999998</v>
      </c>
      <c r="E55" s="6" t="str">
        <f t="shared" si="4"/>
        <v xml:space="preserve">T7 06/03/24 0:00 </v>
      </c>
      <c r="F55" s="12">
        <f t="shared" si="5"/>
        <v>92.367638855353974</v>
      </c>
      <c r="G55" s="12">
        <f t="shared" si="6"/>
        <v>10.127296222522077</v>
      </c>
    </row>
    <row r="56" spans="1:7" x14ac:dyDescent="0.25">
      <c r="A56" s="6" t="s">
        <v>79</v>
      </c>
      <c r="B56" s="16">
        <v>1.0304</v>
      </c>
      <c r="C56" s="16">
        <v>0.14228999999999997</v>
      </c>
      <c r="E56" s="6" t="str">
        <f t="shared" si="4"/>
        <v xml:space="preserve">T8 06/03/24 0:00 </v>
      </c>
      <c r="F56" s="12">
        <f t="shared" si="5"/>
        <v>85.790170431365354</v>
      </c>
      <c r="G56" s="12">
        <f t="shared" si="6"/>
        <v>10.158709760328984</v>
      </c>
    </row>
    <row r="57" spans="1:7" x14ac:dyDescent="0.25">
      <c r="A57" s="6" t="s">
        <v>80</v>
      </c>
      <c r="B57" s="16">
        <v>1.0664</v>
      </c>
      <c r="C57" s="16">
        <v>0.14925999999999995</v>
      </c>
      <c r="E57" s="6" t="str">
        <f t="shared" si="4"/>
        <v xml:space="preserve">T9 06/03/24 0:00 </v>
      </c>
      <c r="F57" s="12">
        <f t="shared" si="5"/>
        <v>88.787497814448784</v>
      </c>
      <c r="G57" s="12">
        <f t="shared" si="6"/>
        <v>10.656328756952027</v>
      </c>
    </row>
    <row r="58" spans="1:7" x14ac:dyDescent="0.25">
      <c r="A58" s="6" t="s">
        <v>81</v>
      </c>
      <c r="B58" s="16">
        <v>1.0434000000000001</v>
      </c>
      <c r="C58" s="16">
        <v>0.15174999999999994</v>
      </c>
      <c r="E58" s="6" t="str">
        <f t="shared" si="4"/>
        <v xml:space="preserve">T10 06/03/24 0:00 </v>
      </c>
      <c r="F58" s="12">
        <f t="shared" si="5"/>
        <v>86.872538653034383</v>
      </c>
      <c r="G58" s="12">
        <f t="shared" si="6"/>
        <v>10.834100823177476</v>
      </c>
    </row>
    <row r="59" spans="1:7" x14ac:dyDescent="0.25">
      <c r="A59" s="6" t="s">
        <v>82</v>
      </c>
      <c r="B59" s="16">
        <v>0.97940000000000005</v>
      </c>
      <c r="C59" s="16">
        <v>0.14111999999999997</v>
      </c>
      <c r="E59" s="6" t="str">
        <f t="shared" si="4"/>
        <v xml:space="preserve">T11 06/03/24 0:00 </v>
      </c>
      <c r="F59" s="12">
        <f t="shared" si="5"/>
        <v>81.543956638663857</v>
      </c>
      <c r="G59" s="12">
        <f t="shared" si="6"/>
        <v>10.075178307524252</v>
      </c>
    </row>
    <row r="60" spans="1:7" x14ac:dyDescent="0.25">
      <c r="A60" s="6" t="s">
        <v>83</v>
      </c>
      <c r="B60" s="16">
        <v>1.0054000000000001</v>
      </c>
      <c r="C60" s="16">
        <v>0.14216999999999996</v>
      </c>
      <c r="E60" s="6" t="str">
        <f t="shared" si="4"/>
        <v xml:space="preserve">T12 06/03/24 0:00 </v>
      </c>
      <c r="F60" s="12">
        <f t="shared" si="5"/>
        <v>83.708693082001886</v>
      </c>
      <c r="G60" s="12">
        <f t="shared" si="6"/>
        <v>10.150142431836189</v>
      </c>
    </row>
    <row r="61" spans="1:7" x14ac:dyDescent="0.25">
      <c r="A61" s="6" t="s">
        <v>84</v>
      </c>
      <c r="B61" s="16">
        <v>4.3503999999999996</v>
      </c>
      <c r="C61" s="16">
        <v>0.15799999999999997</v>
      </c>
      <c r="E61" s="6" t="str">
        <f t="shared" si="4"/>
        <v>T13 06/03/24 0:00</v>
      </c>
      <c r="F61" s="12">
        <f t="shared" si="5"/>
        <v>362.21036242683601</v>
      </c>
      <c r="G61" s="12">
        <f t="shared" si="6"/>
        <v>11.280315848843765</v>
      </c>
    </row>
    <row r="62" spans="1:7" x14ac:dyDescent="0.25">
      <c r="A62" s="6" t="s">
        <v>85</v>
      </c>
      <c r="B62" s="16">
        <v>1.1954</v>
      </c>
      <c r="C62" s="16">
        <v>0.13784999999999997</v>
      </c>
      <c r="E62" s="6" t="str">
        <f t="shared" si="4"/>
        <v>T14 06/03/24 0:00</v>
      </c>
      <c r="F62" s="12">
        <f t="shared" si="5"/>
        <v>99.527920937164367</v>
      </c>
      <c r="G62" s="12">
        <f t="shared" si="6"/>
        <v>9.8417186060956521</v>
      </c>
    </row>
    <row r="63" spans="1:7" x14ac:dyDescent="0.25">
      <c r="A63" s="22" t="s">
        <v>28</v>
      </c>
      <c r="B63" s="20">
        <v>-1.66E-3</v>
      </c>
      <c r="C63" s="20">
        <v>0</v>
      </c>
      <c r="E63" s="19" t="str">
        <f t="shared" si="4"/>
        <v>DIW</v>
      </c>
      <c r="F63" s="21">
        <f t="shared" si="5"/>
        <v>-0.13821009599773537</v>
      </c>
      <c r="G63" s="21">
        <f t="shared" si="6"/>
        <v>0</v>
      </c>
    </row>
    <row r="64" spans="1:7" x14ac:dyDescent="0.25">
      <c r="A64" s="22" t="s">
        <v>27</v>
      </c>
      <c r="B64" s="20">
        <v>0.87960000000000005</v>
      </c>
      <c r="C64" s="20">
        <v>5.8840000000000003E-2</v>
      </c>
      <c r="E64" s="19" t="str">
        <f t="shared" si="4"/>
        <v>LNSW</v>
      </c>
      <c r="F64" s="21">
        <f t="shared" si="5"/>
        <v>73.234699060004829</v>
      </c>
      <c r="G64" s="21">
        <f t="shared" si="6"/>
        <v>4.2008467376327046</v>
      </c>
    </row>
    <row r="65" spans="1:7" x14ac:dyDescent="0.25">
      <c r="A65" s="22" t="s">
        <v>31</v>
      </c>
      <c r="B65" s="20">
        <v>0.5121</v>
      </c>
      <c r="C65" s="20">
        <v>0.43021999999999999</v>
      </c>
      <c r="E65" s="19" t="str">
        <f t="shared" si="4"/>
        <v>DSWR [B24,L05-24]</v>
      </c>
      <c r="F65" s="21">
        <f t="shared" si="5"/>
        <v>42.636982024361615</v>
      </c>
      <c r="G65" s="21">
        <f t="shared" si="6"/>
        <v>30.715300534744088</v>
      </c>
    </row>
    <row r="66" spans="1:7" x14ac:dyDescent="0.25">
      <c r="A66" s="6" t="s">
        <v>86</v>
      </c>
      <c r="B66" s="16">
        <v>1.1184000000000001</v>
      </c>
      <c r="C66" s="16">
        <v>0.16979999999999995</v>
      </c>
      <c r="E66" s="6" t="str">
        <f t="shared" si="4"/>
        <v xml:space="preserve">T15 06/03/24 0:00 </v>
      </c>
      <c r="F66" s="12">
        <f t="shared" si="5"/>
        <v>93.116970701124828</v>
      </c>
      <c r="G66" s="12">
        <f t="shared" si="6"/>
        <v>12.122769817301716</v>
      </c>
    </row>
    <row r="67" spans="1:7" x14ac:dyDescent="0.25">
      <c r="A67" s="6" t="s">
        <v>87</v>
      </c>
      <c r="B67" s="16">
        <v>1.0744</v>
      </c>
      <c r="C67" s="16">
        <v>0.15474999999999994</v>
      </c>
      <c r="E67" s="6" t="str">
        <f t="shared" si="4"/>
        <v xml:space="preserve">T16 06/03/24 0:00 </v>
      </c>
      <c r="F67" s="12">
        <f t="shared" si="5"/>
        <v>89.453570566245105</v>
      </c>
      <c r="G67" s="12">
        <f t="shared" si="6"/>
        <v>11.048284035497293</v>
      </c>
    </row>
    <row r="68" spans="1:7" x14ac:dyDescent="0.25">
      <c r="A68" s="6" t="s">
        <v>88</v>
      </c>
      <c r="B68" s="16">
        <v>0.90160000000000007</v>
      </c>
      <c r="C68" s="16">
        <v>0.14152999999999996</v>
      </c>
      <c r="E68" s="6" t="str">
        <f t="shared" si="4"/>
        <v xml:space="preserve">F1_IN 06/03/24 6:00 </v>
      </c>
      <c r="F68" s="12">
        <f t="shared" si="5"/>
        <v>75.066399127444697</v>
      </c>
      <c r="G68" s="12">
        <f t="shared" si="6"/>
        <v>10.104450013207961</v>
      </c>
    </row>
    <row r="69" spans="1:7" x14ac:dyDescent="0.25">
      <c r="A69" s="6" t="s">
        <v>89</v>
      </c>
      <c r="B69" s="16">
        <v>1.0154000000000001</v>
      </c>
      <c r="C69" s="16">
        <v>0.14081999999999995</v>
      </c>
      <c r="E69" s="6" t="str">
        <f t="shared" si="4"/>
        <v xml:space="preserve">T1 06/03/24 6:00 </v>
      </c>
      <c r="F69" s="12">
        <f t="shared" si="5"/>
        <v>84.541284021747273</v>
      </c>
      <c r="G69" s="12">
        <f t="shared" si="6"/>
        <v>10.05375998629227</v>
      </c>
    </row>
    <row r="70" spans="1:7" x14ac:dyDescent="0.25">
      <c r="A70" s="6" t="s">
        <v>90</v>
      </c>
      <c r="B70" s="16">
        <v>0.95340000000000003</v>
      </c>
      <c r="C70" s="16">
        <v>0.13378999999999996</v>
      </c>
      <c r="E70" s="6" t="str">
        <f t="shared" si="4"/>
        <v xml:space="preserve">T2 06/03/24 6:00 </v>
      </c>
      <c r="F70" s="12">
        <f t="shared" si="5"/>
        <v>79.379220195325843</v>
      </c>
      <c r="G70" s="12">
        <f t="shared" si="6"/>
        <v>9.5518573254228301</v>
      </c>
    </row>
    <row r="71" spans="1:7" x14ac:dyDescent="0.25">
      <c r="A71" s="6" t="s">
        <v>91</v>
      </c>
      <c r="B71" s="16">
        <v>0.85909999999999997</v>
      </c>
      <c r="C71" s="16">
        <v>0.14461999999999997</v>
      </c>
      <c r="E71" s="6" t="str">
        <f t="shared" si="4"/>
        <v xml:space="preserve">T3 06/03/24 6:00 </v>
      </c>
      <c r="F71" s="12">
        <f t="shared" si="5"/>
        <v>71.527887633526774</v>
      </c>
      <c r="G71" s="12">
        <f t="shared" si="6"/>
        <v>10.325058721897374</v>
      </c>
    </row>
    <row r="72" spans="1:7" x14ac:dyDescent="0.25">
      <c r="A72" s="6" t="s">
        <v>92</v>
      </c>
      <c r="B72" s="16">
        <v>1.5813999999999999</v>
      </c>
      <c r="C72" s="16">
        <v>0.19511999999999996</v>
      </c>
      <c r="E72" s="6" t="str">
        <f t="shared" si="4"/>
        <v xml:space="preserve">T4 06/03/24 6:00 </v>
      </c>
      <c r="F72" s="12">
        <f t="shared" si="5"/>
        <v>131.66593121133656</v>
      </c>
      <c r="G72" s="12">
        <f t="shared" si="6"/>
        <v>13.930476129280985</v>
      </c>
    </row>
    <row r="73" spans="1:7" x14ac:dyDescent="0.25">
      <c r="A73" s="6" t="s">
        <v>93</v>
      </c>
      <c r="B73" s="16">
        <v>0.90280000000000005</v>
      </c>
      <c r="C73" s="16">
        <v>0.15135999999999997</v>
      </c>
      <c r="E73" s="6" t="str">
        <f t="shared" si="4"/>
        <v xml:space="preserve">T5 06/03/24 6:00 </v>
      </c>
      <c r="F73" s="12">
        <f t="shared" si="5"/>
        <v>75.166310040214157</v>
      </c>
      <c r="G73" s="12">
        <f t="shared" si="6"/>
        <v>10.806257005575901</v>
      </c>
    </row>
    <row r="74" spans="1:7" x14ac:dyDescent="0.25">
      <c r="A74" s="6" t="s">
        <v>94</v>
      </c>
      <c r="B74" s="16">
        <v>1.0014000000000001</v>
      </c>
      <c r="C74" s="16">
        <v>0.17841999999999997</v>
      </c>
      <c r="E74" s="6" t="str">
        <f t="shared" si="4"/>
        <v>T6 06/03/24 6:00</v>
      </c>
      <c r="F74" s="12">
        <f t="shared" si="5"/>
        <v>83.375656706103726</v>
      </c>
      <c r="G74" s="12">
        <f t="shared" si="6"/>
        <v>12.738189580700661</v>
      </c>
    </row>
    <row r="75" spans="1:7" x14ac:dyDescent="0.25">
      <c r="A75" s="6" t="s">
        <v>95</v>
      </c>
      <c r="B75" s="16">
        <v>1.1904000000000001</v>
      </c>
      <c r="C75" s="16">
        <v>0.18101999999999996</v>
      </c>
      <c r="E75" s="6" t="str">
        <f t="shared" si="4"/>
        <v xml:space="preserve">T7 06/03/24 6:00 </v>
      </c>
      <c r="F75" s="12">
        <f t="shared" si="5"/>
        <v>99.111625467291674</v>
      </c>
      <c r="G75" s="12">
        <f t="shared" si="6"/>
        <v>12.923815031377838</v>
      </c>
    </row>
    <row r="76" spans="1:7" x14ac:dyDescent="0.25">
      <c r="A76" s="22" t="s">
        <v>28</v>
      </c>
      <c r="B76" s="20">
        <v>-4.5900000000000003E-3</v>
      </c>
      <c r="C76" s="20">
        <v>0</v>
      </c>
      <c r="E76" s="19" t="str">
        <f t="shared" si="4"/>
        <v>DIW</v>
      </c>
      <c r="F76" s="21">
        <f t="shared" si="5"/>
        <v>-0.38215924134313572</v>
      </c>
      <c r="G76" s="21">
        <f t="shared" si="6"/>
        <v>0</v>
      </c>
    </row>
    <row r="77" spans="1:7" x14ac:dyDescent="0.25">
      <c r="A77" s="22" t="s">
        <v>27</v>
      </c>
      <c r="B77" s="20">
        <v>0.84730000000000005</v>
      </c>
      <c r="C77" s="20">
        <v>5.2970000000000003E-2</v>
      </c>
      <c r="E77" s="19" t="str">
        <f t="shared" si="4"/>
        <v>LNSW</v>
      </c>
      <c r="F77" s="21">
        <f t="shared" si="5"/>
        <v>70.545430324627205</v>
      </c>
      <c r="G77" s="21">
        <f t="shared" si="6"/>
        <v>3.7817615855269269</v>
      </c>
    </row>
    <row r="78" spans="1:7" x14ac:dyDescent="0.25">
      <c r="A78" s="22" t="s">
        <v>31</v>
      </c>
      <c r="B78" s="20">
        <v>0.5131</v>
      </c>
      <c r="C78" s="20">
        <v>0.43751999999999996</v>
      </c>
      <c r="E78" s="19" t="str">
        <f t="shared" si="4"/>
        <v>DSWR [B24,L05-24]</v>
      </c>
      <c r="F78" s="21">
        <f t="shared" si="5"/>
        <v>42.720241118336155</v>
      </c>
      <c r="G78" s="21">
        <f t="shared" si="6"/>
        <v>31.236479684722308</v>
      </c>
    </row>
  </sheetData>
  <mergeCells count="3">
    <mergeCell ref="D1:G2"/>
    <mergeCell ref="D3:G3"/>
    <mergeCell ref="D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8312-0FE3-49B0-9392-E58E2AE5FE9D}">
  <dimension ref="A1:G79"/>
  <sheetViews>
    <sheetView topLeftCell="A42" zoomScaleNormal="100" workbookViewId="0">
      <selection activeCell="B87" sqref="B87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29</v>
      </c>
      <c r="E3" s="30"/>
      <c r="F3" s="30"/>
      <c r="G3" s="31"/>
    </row>
    <row r="4" spans="1:7" ht="15.75" thickBot="1" x14ac:dyDescent="0.3">
      <c r="A4" s="1" t="s">
        <v>5</v>
      </c>
      <c r="B4" s="17">
        <v>45617</v>
      </c>
      <c r="C4" s="3"/>
      <c r="D4" s="32" t="s">
        <v>30</v>
      </c>
      <c r="E4" s="33"/>
      <c r="F4" s="33"/>
      <c r="G4" s="34"/>
    </row>
    <row r="5" spans="1:7" x14ac:dyDescent="0.25">
      <c r="A5" s="1" t="s">
        <v>6</v>
      </c>
      <c r="B5" s="18" t="s">
        <v>48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-5.5000000000000003E-4</v>
      </c>
      <c r="C14" s="20">
        <v>0</v>
      </c>
      <c r="E14" s="19" t="str">
        <f>A14</f>
        <v>DIW</v>
      </c>
      <c r="F14" s="21">
        <f>B14/12.0107*1000</f>
        <v>-4.5792501685996655E-2</v>
      </c>
      <c r="G14" s="21">
        <f>C14/14.0067*1000</f>
        <v>0</v>
      </c>
    </row>
    <row r="15" spans="1:7" x14ac:dyDescent="0.25">
      <c r="A15" s="19" t="s">
        <v>27</v>
      </c>
      <c r="B15" s="20">
        <v>0.88439999999999996</v>
      </c>
      <c r="C15" s="20">
        <v>5.2720000000000003E-2</v>
      </c>
      <c r="E15" s="19" t="str">
        <f>A15</f>
        <v>LNSW</v>
      </c>
      <c r="F15" s="21">
        <f>B15/12.0107*1000</f>
        <v>73.63434271108261</v>
      </c>
      <c r="G15" s="21">
        <f>C15/14.0067*1000</f>
        <v>3.763912984500275</v>
      </c>
    </row>
    <row r="16" spans="1:7" x14ac:dyDescent="0.25">
      <c r="A16" s="19" t="s">
        <v>31</v>
      </c>
      <c r="B16" s="20">
        <v>0.50605</v>
      </c>
      <c r="C16" s="20">
        <v>0.44030000000000002</v>
      </c>
      <c r="E16" s="19" t="str">
        <f>A16</f>
        <v>DSWR [B24,L05-24]</v>
      </c>
      <c r="F16" s="21">
        <f>B16/12.0107*1000</f>
        <v>42.133264505815653</v>
      </c>
      <c r="G16" s="21">
        <f>C16/14.0067*1000</f>
        <v>31.43495612813868</v>
      </c>
    </row>
    <row r="17" spans="1:7" x14ac:dyDescent="0.25">
      <c r="A17" s="6" t="s">
        <v>97</v>
      </c>
      <c r="B17" s="16">
        <v>0.98724999999999996</v>
      </c>
      <c r="C17" s="16">
        <v>0.16429000000000005</v>
      </c>
      <c r="D17" s="15"/>
      <c r="E17" s="6" t="str">
        <f>A17</f>
        <v xml:space="preserve">T8 06/03/24 6:00 </v>
      </c>
      <c r="F17" s="12">
        <f>B17/12.0107*1000</f>
        <v>82.197540526363994</v>
      </c>
      <c r="G17" s="12">
        <f>C17/14.0067*1000</f>
        <v>11.729386650674323</v>
      </c>
    </row>
    <row r="18" spans="1:7" x14ac:dyDescent="0.25">
      <c r="A18" s="6" t="s">
        <v>98</v>
      </c>
      <c r="B18" s="16">
        <v>1.8100499999999999</v>
      </c>
      <c r="C18" s="16">
        <v>0.25320000000000004</v>
      </c>
      <c r="D18" s="15"/>
      <c r="E18" s="6" t="str">
        <f t="shared" ref="E18:E37" si="0">A18</f>
        <v xml:space="preserve">T9 06/03/24 6:00 </v>
      </c>
      <c r="F18" s="12">
        <f t="shared" ref="F18:F79" si="1">B18/12.0107*1000</f>
        <v>150.70312304861497</v>
      </c>
      <c r="G18" s="12">
        <f t="shared" ref="G18:G79" si="2">C18/14.0067*1000</f>
        <v>18.077063119792673</v>
      </c>
    </row>
    <row r="19" spans="1:7" x14ac:dyDescent="0.25">
      <c r="A19" s="6" t="s">
        <v>99</v>
      </c>
      <c r="B19" s="16">
        <v>1.8100499999999999</v>
      </c>
      <c r="C19" s="16">
        <v>0.30160000000000003</v>
      </c>
      <c r="D19" s="15"/>
      <c r="E19" s="6" t="str">
        <f t="shared" si="0"/>
        <v xml:space="preserve">T10 06/03/24 6:00 </v>
      </c>
      <c r="F19" s="12">
        <f t="shared" si="1"/>
        <v>150.70312304861497</v>
      </c>
      <c r="G19" s="12">
        <f t="shared" si="2"/>
        <v>21.532552278552409</v>
      </c>
    </row>
    <row r="20" spans="1:7" x14ac:dyDescent="0.25">
      <c r="A20" s="6" t="s">
        <v>100</v>
      </c>
      <c r="B20" s="16">
        <v>1.0450499999999998</v>
      </c>
      <c r="C20" s="16">
        <v>1.1192</v>
      </c>
      <c r="D20" s="15"/>
      <c r="E20" s="6" t="str">
        <f t="shared" si="0"/>
        <v xml:space="preserve">T11 06/03/24 6:00 </v>
      </c>
      <c r="F20" s="12">
        <f t="shared" si="1"/>
        <v>87.009916158092352</v>
      </c>
      <c r="G20" s="12">
        <f t="shared" si="2"/>
        <v>79.904617076113567</v>
      </c>
    </row>
    <row r="21" spans="1:7" x14ac:dyDescent="0.25">
      <c r="A21" s="6" t="s">
        <v>101</v>
      </c>
      <c r="B21" s="16">
        <v>1.4050500000000001</v>
      </c>
      <c r="C21" s="16">
        <v>0.17280000000000004</v>
      </c>
      <c r="D21" s="15"/>
      <c r="E21" s="6" t="str">
        <f t="shared" si="0"/>
        <v xml:space="preserve">T13 06/03/24 6:00 </v>
      </c>
      <c r="F21" s="12">
        <f t="shared" si="1"/>
        <v>116.98318998892655</v>
      </c>
      <c r="G21" s="12">
        <f t="shared" si="2"/>
        <v>12.33695302962154</v>
      </c>
    </row>
    <row r="22" spans="1:7" x14ac:dyDescent="0.25">
      <c r="A22" s="6" t="s">
        <v>102</v>
      </c>
      <c r="B22" s="16">
        <v>1.5280499999999999</v>
      </c>
      <c r="C22" s="16">
        <v>0.21740000000000004</v>
      </c>
      <c r="D22" s="15"/>
      <c r="E22" s="6" t="str">
        <f t="shared" ref="E22" si="3">A22</f>
        <v xml:space="preserve">T14 06/03/24 6:00 </v>
      </c>
      <c r="F22" s="12">
        <f t="shared" ref="F22" si="4">B22/12.0107*1000</f>
        <v>127.22405854779487</v>
      </c>
      <c r="G22" s="12">
        <f t="shared" ref="G22" si="5">C22/14.0067*1000</f>
        <v>15.521143452776174</v>
      </c>
    </row>
    <row r="23" spans="1:7" x14ac:dyDescent="0.25">
      <c r="A23" s="6" t="s">
        <v>103</v>
      </c>
      <c r="B23" s="16">
        <v>1.8390499999999999</v>
      </c>
      <c r="C23" s="16">
        <v>0.22470000000000004</v>
      </c>
      <c r="D23" s="15"/>
      <c r="E23" s="6" t="str">
        <f t="shared" si="0"/>
        <v xml:space="preserve">T15 06/03/24 6:00 </v>
      </c>
      <c r="F23" s="12">
        <f t="shared" si="1"/>
        <v>153.1176367738766</v>
      </c>
      <c r="G23" s="12">
        <f t="shared" si="2"/>
        <v>16.0423226027544</v>
      </c>
    </row>
    <row r="24" spans="1:7" x14ac:dyDescent="0.25">
      <c r="A24" s="6" t="s">
        <v>104</v>
      </c>
      <c r="B24" s="16">
        <v>1.09605</v>
      </c>
      <c r="C24" s="16">
        <v>0.16031000000000004</v>
      </c>
      <c r="D24" s="15"/>
      <c r="E24" s="6" t="str">
        <f t="shared" si="0"/>
        <v>T16 06/03/24 6:00</v>
      </c>
      <c r="F24" s="12">
        <f t="shared" si="1"/>
        <v>91.256129950793877</v>
      </c>
      <c r="G24" s="12">
        <f t="shared" si="2"/>
        <v>11.445236922330029</v>
      </c>
    </row>
    <row r="25" spans="1:7" x14ac:dyDescent="0.25">
      <c r="A25" s="6" t="s">
        <v>105</v>
      </c>
      <c r="B25" s="16">
        <v>1.0730499999999998</v>
      </c>
      <c r="C25" s="16">
        <v>0.14723000000000003</v>
      </c>
      <c r="E25" s="6" t="str">
        <f t="shared" si="0"/>
        <v xml:space="preserve">F1 06/04/24 12:00 </v>
      </c>
      <c r="F25" s="12">
        <f t="shared" si="1"/>
        <v>89.341170789379461</v>
      </c>
      <c r="G25" s="12">
        <f t="shared" si="2"/>
        <v>10.511398116615622</v>
      </c>
    </row>
    <row r="26" spans="1:7" x14ac:dyDescent="0.25">
      <c r="A26" s="19" t="s">
        <v>28</v>
      </c>
      <c r="B26" s="20">
        <v>-2.7699999999999999E-3</v>
      </c>
      <c r="C26" s="20">
        <v>0</v>
      </c>
      <c r="E26" s="19" t="str">
        <f t="shared" si="0"/>
        <v>DIW</v>
      </c>
      <c r="F26" s="21">
        <f t="shared" si="1"/>
        <v>-0.23062769030947403</v>
      </c>
      <c r="G26" s="21">
        <f t="shared" si="2"/>
        <v>0</v>
      </c>
    </row>
    <row r="27" spans="1:7" x14ac:dyDescent="0.25">
      <c r="A27" s="19" t="s">
        <v>27</v>
      </c>
      <c r="B27" s="20">
        <v>0.84819999999999995</v>
      </c>
      <c r="C27" s="20">
        <v>5.4269999999999999E-2</v>
      </c>
      <c r="E27" s="19" t="str">
        <f t="shared" si="0"/>
        <v>LNSW</v>
      </c>
      <c r="F27" s="21">
        <f t="shared" si="1"/>
        <v>70.620363509204296</v>
      </c>
      <c r="G27" s="21">
        <f t="shared" si="2"/>
        <v>3.8745743108655142</v>
      </c>
    </row>
    <row r="28" spans="1:7" x14ac:dyDescent="0.25">
      <c r="A28" s="19" t="s">
        <v>31</v>
      </c>
      <c r="B28" s="20">
        <v>0.50575000000000003</v>
      </c>
      <c r="C28" s="20">
        <v>0.43550000000000005</v>
      </c>
      <c r="E28" s="19" t="str">
        <f t="shared" si="0"/>
        <v>DSWR [B24,L05-24]</v>
      </c>
      <c r="F28" s="21">
        <f t="shared" si="1"/>
        <v>42.108286777623285</v>
      </c>
      <c r="G28" s="21">
        <f t="shared" si="2"/>
        <v>31.09226298842697</v>
      </c>
    </row>
    <row r="29" spans="1:7" x14ac:dyDescent="0.25">
      <c r="A29" s="6" t="s">
        <v>106</v>
      </c>
      <c r="B29" s="16">
        <v>1.1070500000000001</v>
      </c>
      <c r="C29" s="16">
        <v>0.14594000000000004</v>
      </c>
      <c r="E29" s="6" t="str">
        <f t="shared" si="0"/>
        <v xml:space="preserve">F2_IN 06/04/24 12:00 </v>
      </c>
      <c r="F29" s="12">
        <f t="shared" si="1"/>
        <v>92.171979984513825</v>
      </c>
      <c r="G29" s="12">
        <f t="shared" si="2"/>
        <v>10.419299335318101</v>
      </c>
    </row>
    <row r="30" spans="1:7" x14ac:dyDescent="0.25">
      <c r="A30" s="6" t="s">
        <v>107</v>
      </c>
      <c r="B30" s="16">
        <v>1.1690499999999999</v>
      </c>
      <c r="C30" s="16">
        <v>0.14878000000000002</v>
      </c>
      <c r="E30" s="6" t="str">
        <f t="shared" si="0"/>
        <v xml:space="preserve">T1 06/04/24 12:00 </v>
      </c>
      <c r="F30" s="12">
        <f t="shared" si="1"/>
        <v>97.334043810935242</v>
      </c>
      <c r="G30" s="12">
        <f t="shared" si="2"/>
        <v>10.622059442980859</v>
      </c>
    </row>
    <row r="31" spans="1:7" x14ac:dyDescent="0.25">
      <c r="A31" s="6" t="s">
        <v>108</v>
      </c>
      <c r="B31" s="16">
        <v>1.2110500000000002</v>
      </c>
      <c r="C31" s="16">
        <v>0.14960000000000004</v>
      </c>
      <c r="E31" s="6" t="str">
        <f t="shared" si="0"/>
        <v>T2 06/04/24 12:00</v>
      </c>
      <c r="F31" s="12">
        <f t="shared" si="1"/>
        <v>100.83092575786593</v>
      </c>
      <c r="G31" s="12">
        <f t="shared" si="2"/>
        <v>10.68060285434828</v>
      </c>
    </row>
    <row r="32" spans="1:7" x14ac:dyDescent="0.25">
      <c r="A32" s="6" t="s">
        <v>109</v>
      </c>
      <c r="B32" s="16">
        <v>1.0460500000000001</v>
      </c>
      <c r="C32" s="16">
        <v>0.13910000000000006</v>
      </c>
      <c r="E32" s="6" t="str">
        <f t="shared" si="0"/>
        <v>T3 06/04/24 12:00</v>
      </c>
      <c r="F32" s="12">
        <f t="shared" si="1"/>
        <v>87.093175252066914</v>
      </c>
      <c r="G32" s="12">
        <f t="shared" si="2"/>
        <v>9.9309616112289145</v>
      </c>
    </row>
    <row r="33" spans="1:7" x14ac:dyDescent="0.25">
      <c r="A33" s="6" t="s">
        <v>110</v>
      </c>
      <c r="B33" s="16">
        <v>1.2460499999999999</v>
      </c>
      <c r="C33" s="16">
        <v>0.14615000000000006</v>
      </c>
      <c r="E33" s="6" t="str">
        <f t="shared" si="0"/>
        <v xml:space="preserve">T4 06/04/24 12:00 </v>
      </c>
      <c r="F33" s="12">
        <f t="shared" si="1"/>
        <v>103.74499404697478</v>
      </c>
      <c r="G33" s="12">
        <f t="shared" si="2"/>
        <v>10.434292160180489</v>
      </c>
    </row>
    <row r="34" spans="1:7" x14ac:dyDescent="0.25">
      <c r="A34" s="6" t="s">
        <v>111</v>
      </c>
      <c r="B34" s="16">
        <v>1.0910500000000001</v>
      </c>
      <c r="C34" s="16">
        <v>0.14556000000000002</v>
      </c>
      <c r="D34" s="15"/>
      <c r="E34" s="6" t="str">
        <f t="shared" si="0"/>
        <v xml:space="preserve">T5 06/04/24 12:00 </v>
      </c>
      <c r="F34" s="12">
        <f t="shared" si="1"/>
        <v>90.839834480921184</v>
      </c>
      <c r="G34" s="12">
        <f t="shared" si="2"/>
        <v>10.392169461757588</v>
      </c>
    </row>
    <row r="35" spans="1:7" x14ac:dyDescent="0.25">
      <c r="A35" s="6" t="s">
        <v>112</v>
      </c>
      <c r="B35" s="16">
        <v>1.1510500000000001</v>
      </c>
      <c r="C35" s="16">
        <v>0.15158000000000005</v>
      </c>
      <c r="D35" s="15"/>
      <c r="E35" s="6" t="str">
        <f t="shared" si="0"/>
        <v xml:space="preserve">T6 06/04/24 12:00 </v>
      </c>
      <c r="F35" s="12">
        <f t="shared" si="1"/>
        <v>95.835380119393548</v>
      </c>
      <c r="G35" s="12">
        <f t="shared" si="2"/>
        <v>10.821963774479359</v>
      </c>
    </row>
    <row r="36" spans="1:7" x14ac:dyDescent="0.25">
      <c r="A36" s="6" t="s">
        <v>113</v>
      </c>
      <c r="B36" s="16">
        <v>1.1420499999999998</v>
      </c>
      <c r="C36" s="16">
        <v>0.14460000000000006</v>
      </c>
      <c r="D36" s="15"/>
      <c r="E36" s="6" t="str">
        <f t="shared" si="0"/>
        <v>T7 06/04/24 12:00</v>
      </c>
      <c r="F36" s="12">
        <f t="shared" si="1"/>
        <v>95.086048273622666</v>
      </c>
      <c r="G36" s="12">
        <f t="shared" si="2"/>
        <v>10.323630833815249</v>
      </c>
    </row>
    <row r="37" spans="1:7" x14ac:dyDescent="0.25">
      <c r="A37" s="6" t="s">
        <v>114</v>
      </c>
      <c r="B37" s="16">
        <v>1.14005</v>
      </c>
      <c r="C37" s="16">
        <v>0.14449000000000004</v>
      </c>
      <c r="E37" s="6" t="str">
        <f t="shared" si="0"/>
        <v xml:space="preserve">T8 06/04/24 12:00 </v>
      </c>
      <c r="F37" s="12">
        <f t="shared" si="1"/>
        <v>94.919530085673614</v>
      </c>
      <c r="G37" s="12">
        <f t="shared" si="2"/>
        <v>10.315777449363519</v>
      </c>
    </row>
    <row r="38" spans="1:7" x14ac:dyDescent="0.25">
      <c r="A38" s="6" t="s">
        <v>115</v>
      </c>
      <c r="B38" s="16">
        <v>1.1540499999999998</v>
      </c>
      <c r="C38" s="16">
        <v>0.14186000000000004</v>
      </c>
      <c r="E38" s="6" t="str">
        <f>A38</f>
        <v xml:space="preserve">T9 06/04/24 12:00 </v>
      </c>
      <c r="F38" s="12">
        <f t="shared" si="1"/>
        <v>96.085157401317133</v>
      </c>
      <c r="G38" s="12">
        <f t="shared" si="2"/>
        <v>10.128010166563147</v>
      </c>
    </row>
    <row r="39" spans="1:7" x14ac:dyDescent="0.25">
      <c r="A39" s="19" t="s">
        <v>28</v>
      </c>
      <c r="B39" s="20">
        <v>-6.3899999999999998E-3</v>
      </c>
      <c r="C39" s="20">
        <v>0</v>
      </c>
      <c r="E39" s="19" t="str">
        <f t="shared" ref="E39:E79" si="6">A39</f>
        <v>DIW</v>
      </c>
      <c r="F39" s="21">
        <f t="shared" si="1"/>
        <v>-0.53202561049730657</v>
      </c>
      <c r="G39" s="21">
        <f t="shared" si="2"/>
        <v>0</v>
      </c>
    </row>
    <row r="40" spans="1:7" x14ac:dyDescent="0.25">
      <c r="A40" s="19" t="s">
        <v>27</v>
      </c>
      <c r="B40" s="20">
        <v>0.8579</v>
      </c>
      <c r="C40" s="20">
        <v>6.0999999999999999E-2</v>
      </c>
      <c r="D40" s="15"/>
      <c r="E40" s="19" t="str">
        <f t="shared" si="6"/>
        <v>LNSW</v>
      </c>
      <c r="F40" s="21">
        <f t="shared" si="1"/>
        <v>71.427976720757314</v>
      </c>
      <c r="G40" s="21">
        <f t="shared" si="2"/>
        <v>4.3550586505029738</v>
      </c>
    </row>
    <row r="41" spans="1:7" x14ac:dyDescent="0.25">
      <c r="A41" s="19" t="s">
        <v>31</v>
      </c>
      <c r="B41" s="20">
        <v>0.51405000000000001</v>
      </c>
      <c r="C41" s="20">
        <v>0.44200000000000006</v>
      </c>
      <c r="D41" s="15"/>
      <c r="E41" s="19" t="str">
        <f t="shared" si="6"/>
        <v>DSWR [B24,L05-24]</v>
      </c>
      <c r="F41" s="21">
        <f t="shared" si="1"/>
        <v>42.799337257611967</v>
      </c>
      <c r="G41" s="21">
        <f t="shared" si="2"/>
        <v>31.556326615119907</v>
      </c>
    </row>
    <row r="42" spans="1:7" x14ac:dyDescent="0.25">
      <c r="A42" s="6" t="s">
        <v>116</v>
      </c>
      <c r="B42" s="16">
        <v>1.1170499999999999</v>
      </c>
      <c r="C42" s="16">
        <v>0.14458000000000004</v>
      </c>
      <c r="D42" s="15"/>
      <c r="E42" s="6" t="str">
        <f t="shared" si="6"/>
        <v>T10 06/04/24 12:00</v>
      </c>
      <c r="F42" s="12">
        <f t="shared" si="1"/>
        <v>93.004570924259198</v>
      </c>
      <c r="G42" s="12">
        <f t="shared" si="2"/>
        <v>10.322202945733116</v>
      </c>
    </row>
    <row r="43" spans="1:7" x14ac:dyDescent="0.25">
      <c r="A43" s="6" t="s">
        <v>117</v>
      </c>
      <c r="B43" s="16">
        <v>1.0610499999999998</v>
      </c>
      <c r="C43" s="16">
        <v>0.14590000000000003</v>
      </c>
      <c r="D43" s="15"/>
      <c r="E43" s="6" t="str">
        <f t="shared" si="6"/>
        <v xml:space="preserve">T11 06/04/24 12:00 </v>
      </c>
      <c r="F43" s="12">
        <f t="shared" si="1"/>
        <v>88.34206166168498</v>
      </c>
      <c r="G43" s="12">
        <f t="shared" si="2"/>
        <v>10.416443559153835</v>
      </c>
    </row>
    <row r="44" spans="1:7" x14ac:dyDescent="0.25">
      <c r="A44" s="6" t="s">
        <v>118</v>
      </c>
      <c r="B44" s="16">
        <v>1.1150500000000001</v>
      </c>
      <c r="C44" s="16">
        <v>0.14542000000000005</v>
      </c>
      <c r="D44" s="15"/>
      <c r="E44" s="6" t="str">
        <f t="shared" si="6"/>
        <v xml:space="preserve">T12 06/04/24 12:00 </v>
      </c>
      <c r="F44" s="12">
        <f t="shared" si="1"/>
        <v>92.838052736310132</v>
      </c>
      <c r="G44" s="12">
        <f t="shared" si="2"/>
        <v>10.382174245182664</v>
      </c>
    </row>
    <row r="45" spans="1:7" x14ac:dyDescent="0.25">
      <c r="A45" s="6" t="s">
        <v>119</v>
      </c>
      <c r="B45" s="16">
        <v>1.4460500000000001</v>
      </c>
      <c r="C45" s="16">
        <v>0.15301000000000003</v>
      </c>
      <c r="D45" s="15"/>
      <c r="E45" s="6" t="str">
        <f t="shared" si="6"/>
        <v xml:space="preserve">T13 06/04/24 12:00 </v>
      </c>
      <c r="F45" s="12">
        <f t="shared" si="1"/>
        <v>120.39681284188266</v>
      </c>
      <c r="G45" s="12">
        <f t="shared" si="2"/>
        <v>10.924057772351805</v>
      </c>
    </row>
    <row r="46" spans="1:7" x14ac:dyDescent="0.25">
      <c r="A46" s="6" t="s">
        <v>120</v>
      </c>
      <c r="B46" s="16">
        <v>1.2550499999999998</v>
      </c>
      <c r="C46" s="16">
        <v>0.14290000000000003</v>
      </c>
      <c r="E46" s="6" t="str">
        <f t="shared" si="6"/>
        <v>T14 06/04/24 12:00</v>
      </c>
      <c r="F46" s="12">
        <f t="shared" si="1"/>
        <v>104.49432589274561</v>
      </c>
      <c r="G46" s="12">
        <f t="shared" si="2"/>
        <v>10.202260346834018</v>
      </c>
    </row>
    <row r="47" spans="1:7" x14ac:dyDescent="0.25">
      <c r="A47" s="6" t="s">
        <v>121</v>
      </c>
      <c r="B47" s="16">
        <v>1.08005</v>
      </c>
      <c r="C47" s="16">
        <v>0.14916000000000004</v>
      </c>
      <c r="E47" s="6" t="str">
        <f t="shared" si="6"/>
        <v xml:space="preserve">T15 06/04/24 12:00 </v>
      </c>
      <c r="F47" s="12">
        <f t="shared" si="1"/>
        <v>89.923984447201249</v>
      </c>
      <c r="G47" s="12">
        <f t="shared" si="2"/>
        <v>10.649189316541372</v>
      </c>
    </row>
    <row r="48" spans="1:7" x14ac:dyDescent="0.25">
      <c r="A48" s="6" t="s">
        <v>122</v>
      </c>
      <c r="B48" s="16">
        <v>1.1180500000000002</v>
      </c>
      <c r="C48" s="16">
        <v>0.14529000000000003</v>
      </c>
      <c r="E48" s="6" t="str">
        <f t="shared" si="6"/>
        <v xml:space="preserve">T16 06/04/24 12:00 </v>
      </c>
      <c r="F48" s="12">
        <f t="shared" si="1"/>
        <v>93.08783001823376</v>
      </c>
      <c r="G48" s="12">
        <f t="shared" si="2"/>
        <v>10.372892972648804</v>
      </c>
    </row>
    <row r="49" spans="1:7" x14ac:dyDescent="0.25">
      <c r="A49" s="6" t="s">
        <v>123</v>
      </c>
      <c r="B49" s="16">
        <v>1.87005</v>
      </c>
      <c r="C49" s="16">
        <v>0.17141000000000006</v>
      </c>
      <c r="E49" s="6" t="str">
        <f t="shared" si="6"/>
        <v xml:space="preserve">F1_IN 06/06/24 12:00 </v>
      </c>
      <c r="F49" s="12">
        <f t="shared" si="1"/>
        <v>155.69866868708735</v>
      </c>
      <c r="G49" s="12">
        <f t="shared" si="2"/>
        <v>12.23771480791336</v>
      </c>
    </row>
    <row r="50" spans="1:7" x14ac:dyDescent="0.25">
      <c r="A50" s="6" t="s">
        <v>124</v>
      </c>
      <c r="B50" s="16">
        <v>1.9760499999999999</v>
      </c>
      <c r="C50" s="16">
        <v>0.17840000000000006</v>
      </c>
      <c r="E50" s="6" t="str">
        <f t="shared" si="6"/>
        <v xml:space="preserve">F2_IN 06/06/24 12:00 </v>
      </c>
      <c r="F50" s="12">
        <f t="shared" si="1"/>
        <v>164.5241326483885</v>
      </c>
      <c r="G50" s="12">
        <f t="shared" si="2"/>
        <v>12.736761692618536</v>
      </c>
    </row>
    <row r="51" spans="1:7" x14ac:dyDescent="0.25">
      <c r="A51" s="6" t="s">
        <v>125</v>
      </c>
      <c r="B51" s="16">
        <v>2.0160499999999999</v>
      </c>
      <c r="C51" s="16">
        <v>0.19510000000000005</v>
      </c>
      <c r="E51" s="6" t="str">
        <f t="shared" si="6"/>
        <v xml:space="preserve">T1 06/06/24 12:00 </v>
      </c>
      <c r="F51" s="12">
        <f t="shared" si="1"/>
        <v>167.85449640737008</v>
      </c>
      <c r="G51" s="12">
        <f t="shared" si="2"/>
        <v>13.929048241198858</v>
      </c>
    </row>
    <row r="52" spans="1:7" x14ac:dyDescent="0.25">
      <c r="A52" s="19" t="s">
        <v>28</v>
      </c>
      <c r="B52" s="20">
        <v>-6.6600000000000001E-3</v>
      </c>
      <c r="C52" s="20">
        <v>0</v>
      </c>
      <c r="E52" s="19" t="str">
        <f t="shared" si="6"/>
        <v>DIW</v>
      </c>
      <c r="F52" s="21">
        <f t="shared" si="1"/>
        <v>-0.5545055658704322</v>
      </c>
      <c r="G52" s="21">
        <f t="shared" si="2"/>
        <v>0</v>
      </c>
    </row>
    <row r="53" spans="1:7" x14ac:dyDescent="0.25">
      <c r="A53" s="19" t="s">
        <v>27</v>
      </c>
      <c r="B53" s="20">
        <v>0.84494999999999998</v>
      </c>
      <c r="C53" s="20">
        <v>0.12767000000000003</v>
      </c>
      <c r="D53" s="15"/>
      <c r="E53" s="19" t="str">
        <f t="shared" si="6"/>
        <v>LNSW</v>
      </c>
      <c r="F53" s="21">
        <f t="shared" si="1"/>
        <v>70.349771453787042</v>
      </c>
      <c r="G53" s="21">
        <f t="shared" si="2"/>
        <v>9.1149235722904063</v>
      </c>
    </row>
    <row r="54" spans="1:7" x14ac:dyDescent="0.25">
      <c r="A54" s="19" t="s">
        <v>31</v>
      </c>
      <c r="B54" s="20">
        <v>0.50395000000000001</v>
      </c>
      <c r="C54" s="20">
        <v>0.43880000000000002</v>
      </c>
      <c r="D54" s="15"/>
      <c r="E54" s="19" t="str">
        <f t="shared" si="6"/>
        <v>DSWR [B24,L05-24]</v>
      </c>
      <c r="F54" s="21">
        <f t="shared" si="1"/>
        <v>41.958420408469117</v>
      </c>
      <c r="G54" s="21">
        <f t="shared" si="2"/>
        <v>31.327864521978771</v>
      </c>
    </row>
    <row r="55" spans="1:7" x14ac:dyDescent="0.25">
      <c r="A55" s="6" t="s">
        <v>126</v>
      </c>
      <c r="B55" s="16">
        <v>2.5480499999999999</v>
      </c>
      <c r="C55" s="16">
        <v>0.67320000000000002</v>
      </c>
      <c r="E55" s="6" t="str">
        <f t="shared" si="6"/>
        <v xml:space="preserve">T2 06/06/24 12:00 </v>
      </c>
      <c r="F55" s="12">
        <f t="shared" si="1"/>
        <v>212.14833440182505</v>
      </c>
      <c r="G55" s="12">
        <f t="shared" si="2"/>
        <v>48.062712844567244</v>
      </c>
    </row>
    <row r="56" spans="1:7" x14ac:dyDescent="0.25">
      <c r="A56" s="6" t="s">
        <v>127</v>
      </c>
      <c r="B56" s="16">
        <v>1.6020500000000002</v>
      </c>
      <c r="C56" s="16">
        <v>0.16037000000000004</v>
      </c>
      <c r="E56" s="6" t="str">
        <f t="shared" si="6"/>
        <v xml:space="preserve">T3 06/06/24 12:00 </v>
      </c>
      <c r="F56" s="12">
        <f t="shared" si="1"/>
        <v>133.38523150191082</v>
      </c>
      <c r="G56" s="12">
        <f t="shared" si="2"/>
        <v>11.449520586576428</v>
      </c>
    </row>
    <row r="57" spans="1:7" x14ac:dyDescent="0.25">
      <c r="A57" s="6" t="s">
        <v>128</v>
      </c>
      <c r="B57" s="16">
        <v>1.8720500000000002</v>
      </c>
      <c r="C57" s="16">
        <v>0.18090000000000006</v>
      </c>
      <c r="E57" s="6" t="str">
        <f t="shared" si="6"/>
        <v xml:space="preserve">T4 06/06/24 12:00 </v>
      </c>
      <c r="F57" s="12">
        <f t="shared" si="1"/>
        <v>155.86518687503644</v>
      </c>
      <c r="G57" s="12">
        <f t="shared" si="2"/>
        <v>12.915247702885052</v>
      </c>
    </row>
    <row r="58" spans="1:7" x14ac:dyDescent="0.25">
      <c r="A58" s="6" t="s">
        <v>129</v>
      </c>
      <c r="B58" s="16">
        <v>2.4420500000000001</v>
      </c>
      <c r="C58" s="16">
        <v>0.67280000000000006</v>
      </c>
      <c r="E58" s="6" t="str">
        <f t="shared" si="6"/>
        <v xml:space="preserve">T5 06/06/24 12:00 </v>
      </c>
      <c r="F58" s="12">
        <f t="shared" si="1"/>
        <v>203.32287044052387</v>
      </c>
      <c r="G58" s="12">
        <f t="shared" si="2"/>
        <v>48.034155082924606</v>
      </c>
    </row>
    <row r="59" spans="1:7" x14ac:dyDescent="0.25">
      <c r="A59" s="6" t="s">
        <v>130</v>
      </c>
      <c r="B59" s="16">
        <v>1.8600500000000002</v>
      </c>
      <c r="C59" s="16">
        <v>0.16493000000000005</v>
      </c>
      <c r="E59" s="6" t="str">
        <f t="shared" si="6"/>
        <v xml:space="preserve">T6 06/06/24 12:00 </v>
      </c>
      <c r="F59" s="12">
        <f t="shared" si="1"/>
        <v>154.86607774734199</v>
      </c>
      <c r="G59" s="12">
        <f t="shared" si="2"/>
        <v>11.775079069302551</v>
      </c>
    </row>
    <row r="60" spans="1:7" x14ac:dyDescent="0.25">
      <c r="A60" s="6" t="s">
        <v>131</v>
      </c>
      <c r="B60" s="16">
        <v>1.9250500000000001</v>
      </c>
      <c r="C60" s="16">
        <v>0.16510000000000002</v>
      </c>
      <c r="E60" s="6" t="str">
        <f t="shared" si="6"/>
        <v xml:space="preserve">T7 06/06/24 12:00 </v>
      </c>
      <c r="F60" s="12">
        <f t="shared" si="1"/>
        <v>160.27791885568701</v>
      </c>
      <c r="G60" s="12">
        <f t="shared" si="2"/>
        <v>11.787216118000673</v>
      </c>
    </row>
    <row r="61" spans="1:7" x14ac:dyDescent="0.25">
      <c r="A61" s="6" t="s">
        <v>132</v>
      </c>
      <c r="B61" s="16">
        <v>1.92605</v>
      </c>
      <c r="C61" s="16">
        <v>0.22800000000000004</v>
      </c>
      <c r="E61" s="6" t="str">
        <f t="shared" si="6"/>
        <v xml:space="preserve">T8 06/06/24 12:00 </v>
      </c>
      <c r="F61" s="12">
        <f t="shared" si="1"/>
        <v>160.36117794966157</v>
      </c>
      <c r="G61" s="12">
        <f t="shared" si="2"/>
        <v>16.277924136306197</v>
      </c>
    </row>
    <row r="62" spans="1:7" x14ac:dyDescent="0.25">
      <c r="A62" s="6" t="s">
        <v>133</v>
      </c>
      <c r="B62" s="16">
        <v>2.03505</v>
      </c>
      <c r="C62" s="16">
        <v>0.19250000000000006</v>
      </c>
      <c r="E62" s="6" t="str">
        <f t="shared" si="6"/>
        <v xml:space="preserve">T9 06/06/24 12:00 </v>
      </c>
      <c r="F62" s="12">
        <f t="shared" si="1"/>
        <v>169.43641919288635</v>
      </c>
      <c r="G62" s="12">
        <f t="shared" si="2"/>
        <v>13.743422790521683</v>
      </c>
    </row>
    <row r="63" spans="1:7" x14ac:dyDescent="0.25">
      <c r="A63" s="6" t="s">
        <v>134</v>
      </c>
      <c r="B63" s="16">
        <v>1.7760500000000001</v>
      </c>
      <c r="C63" s="16">
        <v>0.15730000000000005</v>
      </c>
      <c r="E63" s="6" t="str">
        <f t="shared" si="6"/>
        <v xml:space="preserve">T10 06/06/24 12:00 </v>
      </c>
      <c r="F63" s="12">
        <f t="shared" si="1"/>
        <v>147.87231385348065</v>
      </c>
      <c r="G63" s="12">
        <f t="shared" si="2"/>
        <v>11.230339765969147</v>
      </c>
    </row>
    <row r="64" spans="1:7" x14ac:dyDescent="0.25">
      <c r="A64" s="6" t="s">
        <v>135</v>
      </c>
      <c r="B64" s="16">
        <v>2.0000499999999999</v>
      </c>
      <c r="C64" s="16">
        <v>0.23880000000000004</v>
      </c>
      <c r="E64" s="6" t="str">
        <f t="shared" si="6"/>
        <v>T11 06/06/24 12:00</v>
      </c>
      <c r="F64" s="12">
        <f t="shared" si="1"/>
        <v>166.52235090377746</v>
      </c>
      <c r="G64" s="12">
        <f t="shared" si="2"/>
        <v>17.048983700657548</v>
      </c>
    </row>
    <row r="65" spans="1:7" x14ac:dyDescent="0.25">
      <c r="A65" s="22" t="s">
        <v>28</v>
      </c>
      <c r="B65" s="20">
        <v>-2.64E-3</v>
      </c>
      <c r="C65" s="20">
        <v>0</v>
      </c>
      <c r="E65" s="19" t="str">
        <f t="shared" si="6"/>
        <v>DIW</v>
      </c>
      <c r="F65" s="21">
        <f t="shared" si="1"/>
        <v>-0.21980400809278394</v>
      </c>
      <c r="G65" s="21">
        <f t="shared" si="2"/>
        <v>0</v>
      </c>
    </row>
    <row r="66" spans="1:7" x14ac:dyDescent="0.25">
      <c r="A66" s="22" t="s">
        <v>27</v>
      </c>
      <c r="B66" s="20">
        <v>0.84670000000000001</v>
      </c>
      <c r="C66" s="20">
        <v>5.3010000000000002E-2</v>
      </c>
      <c r="E66" s="19" t="str">
        <f t="shared" si="6"/>
        <v>LNSW</v>
      </c>
      <c r="F66" s="21">
        <f t="shared" si="1"/>
        <v>70.495474868242482</v>
      </c>
      <c r="G66" s="21">
        <f t="shared" si="2"/>
        <v>3.7846173616911907</v>
      </c>
    </row>
    <row r="67" spans="1:7" x14ac:dyDescent="0.25">
      <c r="A67" s="22" t="s">
        <v>96</v>
      </c>
      <c r="B67" s="20">
        <v>0.51505000000000001</v>
      </c>
      <c r="C67" s="20">
        <v>0.43300000000000005</v>
      </c>
      <c r="E67" s="19" t="str">
        <f t="shared" si="6"/>
        <v xml:space="preserve">DSWR [B24,L05-24] </v>
      </c>
      <c r="F67" s="21">
        <f t="shared" si="1"/>
        <v>42.882596351586507</v>
      </c>
      <c r="G67" s="21">
        <f t="shared" si="2"/>
        <v>30.913776978160456</v>
      </c>
    </row>
    <row r="68" spans="1:7" x14ac:dyDescent="0.25">
      <c r="A68" s="6" t="s">
        <v>136</v>
      </c>
      <c r="B68" s="16">
        <v>1.7640500000000001</v>
      </c>
      <c r="C68" s="16">
        <v>0.16299000000000002</v>
      </c>
      <c r="E68" s="6" t="str">
        <f t="shared" si="6"/>
        <v xml:space="preserve">T12 06/06/24 12:00 </v>
      </c>
      <c r="F68" s="12">
        <f t="shared" si="1"/>
        <v>146.8732047257862</v>
      </c>
      <c r="G68" s="12">
        <f t="shared" si="2"/>
        <v>11.636573925335734</v>
      </c>
    </row>
    <row r="69" spans="1:7" x14ac:dyDescent="0.25">
      <c r="A69" s="6" t="s">
        <v>137</v>
      </c>
      <c r="B69" s="16">
        <v>1.85805</v>
      </c>
      <c r="C69" s="16">
        <v>0.17760000000000004</v>
      </c>
      <c r="E69" s="6" t="str">
        <f t="shared" si="6"/>
        <v>T13 06/06/24 12:00</v>
      </c>
      <c r="F69" s="12">
        <f t="shared" si="1"/>
        <v>154.69955955939287</v>
      </c>
      <c r="G69" s="12">
        <f t="shared" si="2"/>
        <v>12.67964616933325</v>
      </c>
    </row>
    <row r="70" spans="1:7" x14ac:dyDescent="0.25">
      <c r="A70" s="6" t="s">
        <v>138</v>
      </c>
      <c r="B70" s="16">
        <v>2.0930500000000003</v>
      </c>
      <c r="C70" s="16">
        <v>0.42730000000000007</v>
      </c>
      <c r="E70" s="6" t="str">
        <f t="shared" si="6"/>
        <v xml:space="preserve">T14 06/06/24 12:00 </v>
      </c>
      <c r="F70" s="12">
        <f t="shared" si="1"/>
        <v>174.26544664340966</v>
      </c>
      <c r="G70" s="12">
        <f t="shared" si="2"/>
        <v>30.506828874752802</v>
      </c>
    </row>
    <row r="71" spans="1:7" x14ac:dyDescent="0.25">
      <c r="A71" s="6" t="s">
        <v>139</v>
      </c>
      <c r="B71" s="16">
        <v>1.8630499999999999</v>
      </c>
      <c r="C71" s="16">
        <v>0.16441000000000006</v>
      </c>
      <c r="E71" s="6" t="str">
        <f t="shared" si="6"/>
        <v xml:space="preserve">T15 06/06/24 12:00 </v>
      </c>
      <c r="F71" s="12">
        <f t="shared" si="1"/>
        <v>155.11585502926556</v>
      </c>
      <c r="G71" s="12">
        <f t="shared" si="2"/>
        <v>11.737953979167116</v>
      </c>
    </row>
    <row r="72" spans="1:7" x14ac:dyDescent="0.25">
      <c r="A72" s="6" t="s">
        <v>140</v>
      </c>
      <c r="B72" s="16">
        <v>1.8690500000000001</v>
      </c>
      <c r="C72" s="16">
        <v>0.17900000000000005</v>
      </c>
      <c r="E72" s="6" t="str">
        <f t="shared" si="6"/>
        <v xml:space="preserve">T16 06/06/24 12:00 </v>
      </c>
      <c r="F72" s="12">
        <f t="shared" si="1"/>
        <v>155.61540959311282</v>
      </c>
      <c r="G72" s="12">
        <f t="shared" si="2"/>
        <v>12.7795983350825</v>
      </c>
    </row>
    <row r="73" spans="1:7" x14ac:dyDescent="0.25">
      <c r="A73" s="6" t="s">
        <v>141</v>
      </c>
      <c r="B73" s="16">
        <v>0.87785000000000002</v>
      </c>
      <c r="C73" s="16">
        <v>0.15041000000000004</v>
      </c>
      <c r="E73" s="6" t="str">
        <f t="shared" si="6"/>
        <v xml:space="preserve">BAY 05/27/24 15:00 </v>
      </c>
      <c r="F73" s="12">
        <f t="shared" si="1"/>
        <v>73.088995645549375</v>
      </c>
      <c r="G73" s="12">
        <f t="shared" si="2"/>
        <v>10.738432321674631</v>
      </c>
    </row>
    <row r="74" spans="1:7" x14ac:dyDescent="0.25">
      <c r="A74" s="6" t="s">
        <v>142</v>
      </c>
      <c r="B74" s="16">
        <v>0.84624999999999995</v>
      </c>
      <c r="C74" s="16">
        <v>0.14865000000000006</v>
      </c>
      <c r="E74" s="6" t="str">
        <f t="shared" si="6"/>
        <v xml:space="preserve">OCEAN 05/27/24 15:00 </v>
      </c>
      <c r="F74" s="12">
        <f t="shared" si="1"/>
        <v>70.458008275953944</v>
      </c>
      <c r="G74" s="12">
        <f t="shared" si="2"/>
        <v>10.612778170447003</v>
      </c>
    </row>
    <row r="75" spans="1:7" x14ac:dyDescent="0.25">
      <c r="A75" s="6" t="s">
        <v>143</v>
      </c>
      <c r="B75" s="16">
        <v>0.82314999999999994</v>
      </c>
      <c r="C75" s="16">
        <v>0.13967000000000004</v>
      </c>
      <c r="E75" s="6" t="str">
        <f t="shared" si="6"/>
        <v xml:space="preserve">LAGOON 05/27/24 16:45 </v>
      </c>
      <c r="F75" s="12">
        <f t="shared" si="1"/>
        <v>68.534723205142072</v>
      </c>
      <c r="G75" s="12">
        <f t="shared" si="2"/>
        <v>9.9716564215696817</v>
      </c>
    </row>
    <row r="76" spans="1:7" x14ac:dyDescent="0.25">
      <c r="A76" s="6" t="s">
        <v>144</v>
      </c>
      <c r="B76" s="16">
        <v>1.0080499999999999</v>
      </c>
      <c r="C76" s="16">
        <v>0.18880000000000002</v>
      </c>
      <c r="E76" s="6" t="str">
        <f t="shared" si="6"/>
        <v>BAY 06/06/24 14:25</v>
      </c>
      <c r="F76" s="12">
        <f t="shared" si="1"/>
        <v>83.929329681034403</v>
      </c>
      <c r="G76" s="12">
        <f t="shared" si="2"/>
        <v>13.479263495327238</v>
      </c>
    </row>
    <row r="77" spans="1:7" x14ac:dyDescent="0.25">
      <c r="A77" s="19" t="s">
        <v>28</v>
      </c>
      <c r="B77" s="20">
        <v>-5.8900000000000003E-3</v>
      </c>
      <c r="C77" s="20">
        <v>0</v>
      </c>
      <c r="E77" s="19" t="str">
        <f t="shared" si="6"/>
        <v>DIW</v>
      </c>
      <c r="F77" s="21">
        <f t="shared" si="1"/>
        <v>-0.49039606351003689</v>
      </c>
      <c r="G77" s="21">
        <f t="shared" si="2"/>
        <v>0</v>
      </c>
    </row>
    <row r="78" spans="1:7" x14ac:dyDescent="0.25">
      <c r="A78" s="19" t="s">
        <v>27</v>
      </c>
      <c r="B78" s="20">
        <v>0.82650000000000001</v>
      </c>
      <c r="C78" s="20">
        <v>6.2429999999999999E-2</v>
      </c>
      <c r="E78" s="19" t="str">
        <f t="shared" si="6"/>
        <v>LNSW</v>
      </c>
      <c r="F78" s="21">
        <f t="shared" si="1"/>
        <v>68.813641169956796</v>
      </c>
      <c r="G78" s="21">
        <f t="shared" si="2"/>
        <v>4.4571526483754198</v>
      </c>
    </row>
    <row r="79" spans="1:7" x14ac:dyDescent="0.25">
      <c r="A79" s="19" t="s">
        <v>31</v>
      </c>
      <c r="B79" s="20">
        <v>0.50805</v>
      </c>
      <c r="C79" s="20">
        <v>0.44300000000000006</v>
      </c>
      <c r="E79" s="19" t="str">
        <f t="shared" si="6"/>
        <v>DSWR [B24,L05-24]</v>
      </c>
      <c r="F79" s="21">
        <f t="shared" si="1"/>
        <v>42.299782693764726</v>
      </c>
      <c r="G79" s="21">
        <f t="shared" si="2"/>
        <v>31.627721019226513</v>
      </c>
    </row>
  </sheetData>
  <mergeCells count="3">
    <mergeCell ref="D1:G2"/>
    <mergeCell ref="D3:G3"/>
    <mergeCell ref="D4:G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Results</vt:lpstr>
      <vt:lpstr>Run File 11.14.24</vt:lpstr>
      <vt:lpstr>Run File 11.19.24</vt:lpstr>
      <vt:lpstr>Run File 11.21.24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SLAB</dc:creator>
  <cp:lastModifiedBy>Danielle Hull</cp:lastModifiedBy>
  <dcterms:created xsi:type="dcterms:W3CDTF">2020-10-19T22:59:09Z</dcterms:created>
  <dcterms:modified xsi:type="dcterms:W3CDTF">2025-01-03T20:09:17Z</dcterms:modified>
</cp:coreProperties>
</file>