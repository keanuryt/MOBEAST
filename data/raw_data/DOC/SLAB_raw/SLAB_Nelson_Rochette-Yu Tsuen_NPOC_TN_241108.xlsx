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b12d45ca624262/SLAB/Analyses Completed/Nelson/"/>
    </mc:Choice>
  </mc:AlternateContent>
  <xr:revisionPtr revIDLastSave="145" documentId="8_{B9317B87-9BBE-4840-9782-77640D0A310A}" xr6:coauthVersionLast="47" xr6:coauthVersionMax="47" xr10:uidLastSave="{71CE1B4C-545D-4889-BC99-6B95FA291BD2}"/>
  <bookViews>
    <workbookView xWindow="-120" yWindow="-120" windowWidth="29040" windowHeight="15720" xr2:uid="{99EAB20E-0F92-4B24-9D6E-661C1DF9210C}"/>
  </bookViews>
  <sheets>
    <sheet name="Final Results" sheetId="2" r:id="rId1"/>
    <sheet name="Run File 12.10.24" sheetId="13" r:id="rId2"/>
    <sheet name="Run File 12.13.24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4" i="2" l="1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G18" i="13"/>
  <c r="F18" i="13"/>
  <c r="E18" i="13"/>
  <c r="E82" i="13"/>
  <c r="F82" i="13"/>
  <c r="G82" i="13"/>
  <c r="E83" i="13"/>
  <c r="F83" i="13"/>
  <c r="G83" i="13"/>
  <c r="E84" i="13"/>
  <c r="F84" i="13"/>
  <c r="G84" i="13"/>
  <c r="E85" i="13"/>
  <c r="F85" i="13"/>
  <c r="G85" i="13"/>
  <c r="E86" i="13"/>
  <c r="F86" i="13"/>
  <c r="G86" i="13"/>
  <c r="E87" i="13"/>
  <c r="F87" i="13"/>
  <c r="G87" i="13"/>
  <c r="E88" i="13"/>
  <c r="F88" i="13"/>
  <c r="G88" i="13"/>
  <c r="E89" i="13"/>
  <c r="F89" i="13"/>
  <c r="G89" i="13"/>
  <c r="E90" i="13"/>
  <c r="F90" i="13"/>
  <c r="G90" i="13"/>
  <c r="E91" i="13"/>
  <c r="F91" i="13"/>
  <c r="G91" i="13"/>
  <c r="E92" i="13"/>
  <c r="F92" i="13"/>
  <c r="G92" i="13"/>
  <c r="E93" i="13"/>
  <c r="F93" i="13"/>
  <c r="G93" i="13"/>
  <c r="E94" i="13"/>
  <c r="F94" i="13"/>
  <c r="G94" i="13"/>
  <c r="E19" i="13"/>
  <c r="F19" i="13"/>
  <c r="G19" i="13"/>
  <c r="E20" i="13"/>
  <c r="F20" i="13"/>
  <c r="G20" i="13"/>
  <c r="E21" i="13"/>
  <c r="F21" i="13"/>
  <c r="G21" i="13"/>
  <c r="E22" i="15"/>
  <c r="F22" i="15"/>
  <c r="G22" i="15"/>
  <c r="G33" i="15" l="1"/>
  <c r="F33" i="15"/>
  <c r="E33" i="15"/>
  <c r="G32" i="15"/>
  <c r="F32" i="15"/>
  <c r="E32" i="15"/>
  <c r="G31" i="15"/>
  <c r="F31" i="15"/>
  <c r="E31" i="15"/>
  <c r="G30" i="15"/>
  <c r="F30" i="15"/>
  <c r="E30" i="15"/>
  <c r="G29" i="15"/>
  <c r="F29" i="15"/>
  <c r="E29" i="15"/>
  <c r="G28" i="15"/>
  <c r="F28" i="15"/>
  <c r="E28" i="15"/>
  <c r="G27" i="15"/>
  <c r="F27" i="15"/>
  <c r="E27" i="15"/>
  <c r="G26" i="15"/>
  <c r="F26" i="15"/>
  <c r="E26" i="15"/>
  <c r="G25" i="15"/>
  <c r="F25" i="15"/>
  <c r="E25" i="15"/>
  <c r="G24" i="15"/>
  <c r="F24" i="15"/>
  <c r="E24" i="15"/>
  <c r="G23" i="15"/>
  <c r="F23" i="15"/>
  <c r="E23" i="15"/>
  <c r="G21" i="15"/>
  <c r="F21" i="15"/>
  <c r="E21" i="15"/>
  <c r="G20" i="15"/>
  <c r="F20" i="15"/>
  <c r="E20" i="15"/>
  <c r="G19" i="15"/>
  <c r="F19" i="15"/>
  <c r="E19" i="15"/>
  <c r="G18" i="15"/>
  <c r="F18" i="15"/>
  <c r="E18" i="15"/>
  <c r="G17" i="15"/>
  <c r="F17" i="15"/>
  <c r="E17" i="15"/>
  <c r="G16" i="15"/>
  <c r="F16" i="15"/>
  <c r="E16" i="15"/>
  <c r="G15" i="15"/>
  <c r="F15" i="15"/>
  <c r="E15" i="15"/>
  <c r="G14" i="15"/>
  <c r="F14" i="15"/>
  <c r="E14" i="15"/>
  <c r="G17" i="13"/>
  <c r="E17" i="13"/>
  <c r="F17" i="13"/>
  <c r="F50" i="2" l="1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E51" i="2"/>
  <c r="E52" i="2"/>
  <c r="E53" i="2"/>
  <c r="E54" i="2"/>
  <c r="E55" i="2"/>
  <c r="E56" i="2"/>
  <c r="E57" i="2"/>
  <c r="E58" i="2"/>
  <c r="E59" i="2"/>
  <c r="E50" i="2"/>
  <c r="E56" i="13" l="1"/>
  <c r="F56" i="13"/>
  <c r="G56" i="13"/>
  <c r="E57" i="13"/>
  <c r="F57" i="13"/>
  <c r="G57" i="13"/>
  <c r="E58" i="13"/>
  <c r="F58" i="13"/>
  <c r="G58" i="13"/>
  <c r="E59" i="13"/>
  <c r="F59" i="13"/>
  <c r="G59" i="13"/>
  <c r="E60" i="13"/>
  <c r="F60" i="13"/>
  <c r="G60" i="13"/>
  <c r="E61" i="13"/>
  <c r="F61" i="13"/>
  <c r="G61" i="13"/>
  <c r="E62" i="13"/>
  <c r="F62" i="13"/>
  <c r="G62" i="13"/>
  <c r="E63" i="13"/>
  <c r="F63" i="13"/>
  <c r="G63" i="13"/>
  <c r="E64" i="13"/>
  <c r="F64" i="13"/>
  <c r="G64" i="13"/>
  <c r="E65" i="13"/>
  <c r="F65" i="13"/>
  <c r="G65" i="13"/>
  <c r="E66" i="13"/>
  <c r="F66" i="13"/>
  <c r="G66" i="13"/>
  <c r="E67" i="13"/>
  <c r="F67" i="13"/>
  <c r="G67" i="13"/>
  <c r="E68" i="13"/>
  <c r="F68" i="13"/>
  <c r="G68" i="13"/>
  <c r="E69" i="13"/>
  <c r="F69" i="13"/>
  <c r="G69" i="13"/>
  <c r="E70" i="13"/>
  <c r="F70" i="13"/>
  <c r="G70" i="13"/>
  <c r="E71" i="13"/>
  <c r="F71" i="13"/>
  <c r="G71" i="13"/>
  <c r="E72" i="13"/>
  <c r="F72" i="13"/>
  <c r="G72" i="13"/>
  <c r="E73" i="13"/>
  <c r="F73" i="13"/>
  <c r="G73" i="13"/>
  <c r="E74" i="13"/>
  <c r="F74" i="13"/>
  <c r="G74" i="13"/>
  <c r="E75" i="13"/>
  <c r="F75" i="13"/>
  <c r="G75" i="13"/>
  <c r="E76" i="13"/>
  <c r="F76" i="13"/>
  <c r="G76" i="13"/>
  <c r="E77" i="13"/>
  <c r="F77" i="13"/>
  <c r="G77" i="13"/>
  <c r="E78" i="13"/>
  <c r="F78" i="13"/>
  <c r="G78" i="13"/>
  <c r="E79" i="13"/>
  <c r="F79" i="13"/>
  <c r="G79" i="13"/>
  <c r="E80" i="13"/>
  <c r="F80" i="13"/>
  <c r="G80" i="13"/>
  <c r="E81" i="13"/>
  <c r="F81" i="13"/>
  <c r="G81" i="13"/>
  <c r="G55" i="13"/>
  <c r="F55" i="13"/>
  <c r="E55" i="13"/>
  <c r="G54" i="13"/>
  <c r="F54" i="13"/>
  <c r="E54" i="13"/>
  <c r="G53" i="13"/>
  <c r="F53" i="13"/>
  <c r="E53" i="13"/>
  <c r="G52" i="13"/>
  <c r="F52" i="13"/>
  <c r="E52" i="13"/>
  <c r="G51" i="13"/>
  <c r="F51" i="13"/>
  <c r="E51" i="13"/>
  <c r="G50" i="13"/>
  <c r="F50" i="13"/>
  <c r="E50" i="13"/>
  <c r="G49" i="13"/>
  <c r="F49" i="13"/>
  <c r="E49" i="13"/>
  <c r="G48" i="13"/>
  <c r="F48" i="13"/>
  <c r="E48" i="13"/>
  <c r="G47" i="13"/>
  <c r="F47" i="13"/>
  <c r="E47" i="13"/>
  <c r="G46" i="13"/>
  <c r="F46" i="13"/>
  <c r="E46" i="13"/>
  <c r="G45" i="13"/>
  <c r="F45" i="13"/>
  <c r="E45" i="13"/>
  <c r="G44" i="13"/>
  <c r="F44" i="13"/>
  <c r="E44" i="13"/>
  <c r="G43" i="13"/>
  <c r="F43" i="13"/>
  <c r="E43" i="13"/>
  <c r="G42" i="13"/>
  <c r="F42" i="13"/>
  <c r="E42" i="13"/>
  <c r="G41" i="13"/>
  <c r="F41" i="13"/>
  <c r="E41" i="13"/>
  <c r="G40" i="13"/>
  <c r="F40" i="13"/>
  <c r="E40" i="13"/>
  <c r="G39" i="13"/>
  <c r="F39" i="13"/>
  <c r="E39" i="13"/>
  <c r="G38" i="13"/>
  <c r="F38" i="13"/>
  <c r="E38" i="13"/>
  <c r="G37" i="13"/>
  <c r="F37" i="13"/>
  <c r="E37" i="13"/>
  <c r="G36" i="13"/>
  <c r="F36" i="13"/>
  <c r="E36" i="13"/>
  <c r="G35" i="13"/>
  <c r="F35" i="13"/>
  <c r="E35" i="13"/>
  <c r="G34" i="13"/>
  <c r="F34" i="13"/>
  <c r="E34" i="13"/>
  <c r="G33" i="13"/>
  <c r="F33" i="13"/>
  <c r="E33" i="13"/>
  <c r="G32" i="13"/>
  <c r="F32" i="13"/>
  <c r="E32" i="13"/>
  <c r="G31" i="13"/>
  <c r="F31" i="13"/>
  <c r="E31" i="13"/>
  <c r="G30" i="13"/>
  <c r="F30" i="13"/>
  <c r="E30" i="13"/>
  <c r="G29" i="13"/>
  <c r="F29" i="13"/>
  <c r="E29" i="13"/>
  <c r="G28" i="13"/>
  <c r="F28" i="13"/>
  <c r="E28" i="13"/>
  <c r="G27" i="13"/>
  <c r="F27" i="13"/>
  <c r="E27" i="13"/>
  <c r="G26" i="13"/>
  <c r="F26" i="13"/>
  <c r="E26" i="13"/>
  <c r="G25" i="13"/>
  <c r="F25" i="13"/>
  <c r="E25" i="13"/>
  <c r="G24" i="13"/>
  <c r="F24" i="13"/>
  <c r="E24" i="13"/>
  <c r="G23" i="13"/>
  <c r="F23" i="13"/>
  <c r="E23" i="13"/>
  <c r="G22" i="13"/>
  <c r="F22" i="13"/>
  <c r="E22" i="13"/>
  <c r="G16" i="13"/>
  <c r="F16" i="13"/>
  <c r="E16" i="13"/>
  <c r="G15" i="13"/>
  <c r="F15" i="13"/>
  <c r="E15" i="13"/>
  <c r="G14" i="13"/>
  <c r="F14" i="13"/>
  <c r="E14" i="13"/>
  <c r="G15" i="2" l="1"/>
  <c r="F16" i="2"/>
  <c r="G16" i="2"/>
  <c r="F17" i="2"/>
  <c r="G17" i="2"/>
  <c r="F18" i="2"/>
  <c r="G18" i="2"/>
  <c r="G19" i="2"/>
  <c r="F20" i="2"/>
  <c r="F21" i="2"/>
  <c r="F22" i="2"/>
  <c r="G22" i="2"/>
  <c r="F23" i="2"/>
  <c r="G23" i="2"/>
  <c r="F24" i="2"/>
  <c r="G24" i="2"/>
  <c r="F25" i="2"/>
  <c r="G25" i="2"/>
  <c r="F26" i="2"/>
  <c r="G26" i="2"/>
  <c r="F27" i="2"/>
  <c r="F28" i="2"/>
  <c r="G28" i="2"/>
  <c r="F29" i="2"/>
  <c r="F30" i="2"/>
  <c r="G30" i="2"/>
  <c r="G31" i="2"/>
  <c r="G32" i="2"/>
  <c r="F33" i="2"/>
  <c r="G33" i="2"/>
  <c r="G34" i="2"/>
  <c r="F35" i="2"/>
  <c r="G35" i="2"/>
  <c r="F36" i="2"/>
  <c r="G36" i="2"/>
  <c r="F37" i="2"/>
  <c r="F38" i="2"/>
  <c r="G38" i="2"/>
  <c r="F39" i="2"/>
  <c r="G39" i="2"/>
  <c r="F40" i="2"/>
  <c r="G40" i="2"/>
  <c r="F41" i="2"/>
  <c r="G41" i="2"/>
  <c r="F42" i="2"/>
  <c r="G42" i="2"/>
  <c r="G43" i="2"/>
  <c r="F44" i="2"/>
  <c r="G44" i="2"/>
  <c r="G45" i="2"/>
  <c r="G46" i="2"/>
  <c r="G47" i="2"/>
  <c r="F48" i="2"/>
  <c r="G48" i="2"/>
  <c r="F49" i="2"/>
  <c r="F60" i="2"/>
  <c r="G60" i="2"/>
  <c r="G61" i="2"/>
  <c r="F62" i="2"/>
  <c r="G63" i="2"/>
  <c r="F64" i="2"/>
  <c r="G64" i="2"/>
  <c r="F65" i="2"/>
  <c r="G67" i="2"/>
  <c r="F68" i="2"/>
  <c r="F69" i="2"/>
  <c r="G69" i="2"/>
  <c r="F70" i="2"/>
  <c r="G70" i="2"/>
  <c r="F71" i="2"/>
  <c r="F72" i="2"/>
  <c r="G72" i="2"/>
  <c r="F73" i="2"/>
  <c r="G73" i="2"/>
  <c r="F74" i="2"/>
  <c r="F75" i="2"/>
  <c r="G75" i="2"/>
  <c r="G76" i="2"/>
  <c r="F77" i="2"/>
  <c r="F78" i="2"/>
  <c r="G78" i="2"/>
  <c r="F80" i="2"/>
  <c r="F81" i="2"/>
  <c r="G81" i="2"/>
  <c r="G82" i="2"/>
  <c r="F83" i="2"/>
  <c r="G83" i="2"/>
  <c r="F84" i="2"/>
  <c r="G84" i="2"/>
  <c r="E77" i="2"/>
  <c r="E78" i="2"/>
  <c r="E80" i="2"/>
  <c r="E82" i="2"/>
  <c r="E83" i="2"/>
  <c r="E67" i="2"/>
  <c r="E68" i="2"/>
  <c r="E70" i="2"/>
  <c r="E71" i="2"/>
  <c r="E72" i="2"/>
  <c r="E73" i="2"/>
  <c r="E74" i="2"/>
  <c r="E75" i="2"/>
  <c r="E79" i="2"/>
  <c r="E66" i="2"/>
  <c r="E62" i="2"/>
  <c r="E63" i="2"/>
  <c r="E64" i="2"/>
  <c r="E49" i="2"/>
  <c r="E41" i="2"/>
  <c r="E42" i="2"/>
  <c r="E43" i="2"/>
  <c r="E44" i="2"/>
  <c r="E45" i="2"/>
  <c r="E46" i="2"/>
  <c r="E48" i="2"/>
  <c r="E40" i="2"/>
  <c r="E31" i="2"/>
  <c r="E32" i="2"/>
  <c r="E33" i="2"/>
  <c r="E34" i="2"/>
  <c r="E36" i="2"/>
  <c r="E37" i="2"/>
  <c r="E38" i="2"/>
  <c r="E39" i="2"/>
  <c r="E30" i="2"/>
  <c r="E22" i="2"/>
  <c r="E23" i="2"/>
  <c r="E24" i="2"/>
  <c r="E25" i="2"/>
  <c r="E26" i="2"/>
  <c r="E27" i="2"/>
  <c r="E28" i="2"/>
  <c r="E29" i="2"/>
  <c r="E21" i="2"/>
  <c r="E15" i="2"/>
  <c r="E16" i="2"/>
  <c r="E18" i="2"/>
  <c r="E19" i="2"/>
  <c r="E20" i="2"/>
  <c r="G80" i="2"/>
  <c r="F82" i="2"/>
  <c r="G79" i="2"/>
  <c r="F79" i="2"/>
  <c r="E35" i="2"/>
  <c r="E47" i="2"/>
  <c r="E60" i="2"/>
  <c r="E61" i="2"/>
  <c r="E65" i="2"/>
  <c r="E69" i="2"/>
  <c r="E76" i="2"/>
  <c r="E81" i="2"/>
  <c r="E84" i="2"/>
  <c r="F15" i="2"/>
  <c r="F19" i="2"/>
  <c r="G20" i="2"/>
  <c r="G21" i="2"/>
  <c r="G27" i="2"/>
  <c r="G29" i="2"/>
  <c r="F31" i="2"/>
  <c r="F32" i="2"/>
  <c r="F34" i="2"/>
  <c r="G37" i="2"/>
  <c r="F43" i="2"/>
  <c r="F45" i="2"/>
  <c r="F46" i="2"/>
  <c r="F47" i="2"/>
  <c r="G49" i="2"/>
  <c r="F61" i="2"/>
  <c r="G62" i="2"/>
  <c r="F63" i="2"/>
  <c r="G65" i="2"/>
  <c r="F66" i="2"/>
  <c r="G66" i="2"/>
  <c r="F67" i="2"/>
  <c r="G68" i="2"/>
  <c r="G71" i="2"/>
  <c r="G74" i="2"/>
  <c r="F76" i="2"/>
  <c r="G77" i="2"/>
  <c r="E17" i="2"/>
  <c r="F14" i="2" l="1"/>
  <c r="G14" i="2"/>
  <c r="E14" i="2"/>
</calcChain>
</file>

<file path=xl/sharedStrings.xml><?xml version="1.0" encoding="utf-8"?>
<sst xmlns="http://schemas.openxmlformats.org/spreadsheetml/2006/main" count="161" uniqueCount="106">
  <si>
    <t>System</t>
  </si>
  <si>
    <t>TOCReg</t>
  </si>
  <si>
    <t>Deep Seawater Reference Material</t>
    <phoneticPr fontId="0" type="noConversion"/>
  </si>
  <si>
    <t>S/W Version</t>
  </si>
  <si>
    <t>User</t>
  </si>
  <si>
    <t>Date</t>
  </si>
  <si>
    <t>Comments</t>
  </si>
  <si>
    <t>Standards</t>
    <phoneticPr fontId="0" type="noConversion"/>
  </si>
  <si>
    <t>Range</t>
    <phoneticPr fontId="0" type="noConversion"/>
  </si>
  <si>
    <t>0-5mg/L</t>
    <phoneticPr fontId="0" type="noConversion"/>
  </si>
  <si>
    <t>Raw data (mg/L)</t>
    <phoneticPr fontId="0" type="noConversion"/>
  </si>
  <si>
    <t>Unit conversion</t>
    <phoneticPr fontId="0" type="noConversion"/>
  </si>
  <si>
    <t>Sample</t>
    <phoneticPr fontId="0" type="noConversion"/>
  </si>
  <si>
    <t>NPOC (mg/L)</t>
    <phoneticPr fontId="0" type="noConversion"/>
  </si>
  <si>
    <t>TN (mg/L)</t>
    <phoneticPr fontId="0" type="noConversion"/>
  </si>
  <si>
    <t>NPOC (uM)</t>
    <phoneticPr fontId="0" type="noConversion"/>
  </si>
  <si>
    <t>TN (uM)</t>
    <phoneticPr fontId="0" type="noConversion"/>
  </si>
  <si>
    <t>A.Whitworth</t>
  </si>
  <si>
    <t>Data Provided by:</t>
    <phoneticPr fontId="0" type="noConversion"/>
  </si>
  <si>
    <t xml:space="preserve">SOEST Laboratory for </t>
    <phoneticPr fontId="0" type="noConversion"/>
  </si>
  <si>
    <t>Analtyical Biogeochemistry (S-LAB)</t>
    <phoneticPr fontId="0" type="noConversion"/>
  </si>
  <si>
    <t xml:space="preserve">University of Hawaii at Manoa </t>
    <phoneticPr fontId="0" type="noConversion"/>
  </si>
  <si>
    <t>1000 Pope Rd</t>
    <phoneticPr fontId="0" type="noConversion"/>
  </si>
  <si>
    <t>Honolulu, HI 96822</t>
    <phoneticPr fontId="0" type="noConversion"/>
  </si>
  <si>
    <t>808-956-5878</t>
    <phoneticPr fontId="0" type="noConversion"/>
  </si>
  <si>
    <t>Date Samples Received:</t>
    <phoneticPr fontId="0" type="noConversion"/>
  </si>
  <si>
    <t>Project:</t>
  </si>
  <si>
    <t>LNSW</t>
  </si>
  <si>
    <t>DIW</t>
  </si>
  <si>
    <t>NPOC certified reference value 0.504-0.516 mg/L: 42-43 uM</t>
  </si>
  <si>
    <t>TN certified reference value 0.434-0.448 mg/L:  31-32 uM</t>
  </si>
  <si>
    <t>DSWR [B24,L05-24]</t>
  </si>
  <si>
    <t>Nelson/Rochette-Yu Tsuen</t>
  </si>
  <si>
    <t xml:space="preserve">LNSW </t>
  </si>
  <si>
    <t>Nelson/Rochette-Yu Tsuen (11/08/24)</t>
  </si>
  <si>
    <t>TAU824001</t>
  </si>
  <si>
    <t>TAU824002</t>
  </si>
  <si>
    <t>TAU824003</t>
  </si>
  <si>
    <t>TAU824004</t>
  </si>
  <si>
    <t>TAU824005</t>
  </si>
  <si>
    <t>TAU824006</t>
  </si>
  <si>
    <t>TAU824007</t>
  </si>
  <si>
    <t>TAU824008</t>
  </si>
  <si>
    <t>TAU824009</t>
  </si>
  <si>
    <t>TAU824010</t>
  </si>
  <si>
    <t>TAU824011</t>
  </si>
  <si>
    <t>TAU824012</t>
  </si>
  <si>
    <t>TAU824013</t>
  </si>
  <si>
    <t>TAU824014</t>
  </si>
  <si>
    <t>TAU824015</t>
  </si>
  <si>
    <t>TAU824016</t>
  </si>
  <si>
    <t>TAU824017</t>
  </si>
  <si>
    <t>TAU824018</t>
  </si>
  <si>
    <t>TAU824019</t>
  </si>
  <si>
    <t>TAU824020</t>
  </si>
  <si>
    <t>TAU824021</t>
  </si>
  <si>
    <t>TAU824022</t>
  </si>
  <si>
    <t>TAU824023</t>
  </si>
  <si>
    <t>TAU824024</t>
  </si>
  <si>
    <t>TAU824025</t>
  </si>
  <si>
    <t>TAU824026</t>
  </si>
  <si>
    <t>TAU824027</t>
  </si>
  <si>
    <t>TAU824028</t>
  </si>
  <si>
    <t>TAU824029</t>
  </si>
  <si>
    <t>TAU824030</t>
  </si>
  <si>
    <t>TAU824031</t>
  </si>
  <si>
    <t>TAU824032</t>
  </si>
  <si>
    <t>TAU824033</t>
  </si>
  <si>
    <t>TAU824034</t>
  </si>
  <si>
    <t>TAU824035</t>
  </si>
  <si>
    <t>TAU824036</t>
  </si>
  <si>
    <t>TAU824037</t>
  </si>
  <si>
    <t>TAU824038</t>
  </si>
  <si>
    <t>TAU824039</t>
  </si>
  <si>
    <t>TAU824040</t>
  </si>
  <si>
    <t>TAU824041</t>
  </si>
  <si>
    <t>TAU824042</t>
  </si>
  <si>
    <t>TAU824043</t>
  </si>
  <si>
    <t>TAU824044</t>
  </si>
  <si>
    <t>TAU824045</t>
  </si>
  <si>
    <t>TAU824046</t>
  </si>
  <si>
    <t>TAU824047</t>
  </si>
  <si>
    <t>TAU824048</t>
  </si>
  <si>
    <t>TAU824049</t>
  </si>
  <si>
    <t>TAU824050</t>
  </si>
  <si>
    <t>TAU824051</t>
  </si>
  <si>
    <t>TAU824052</t>
  </si>
  <si>
    <t>TAU824053</t>
  </si>
  <si>
    <t>TAU824054</t>
  </si>
  <si>
    <t>TAU824055</t>
  </si>
  <si>
    <t>TAU824056</t>
  </si>
  <si>
    <t>TAU824057</t>
  </si>
  <si>
    <t>TAU824058</t>
  </si>
  <si>
    <t>TAU824059</t>
  </si>
  <si>
    <t>TAU824060</t>
  </si>
  <si>
    <t>TAU824061</t>
  </si>
  <si>
    <t>TAU824062</t>
  </si>
  <si>
    <t>TAU824063</t>
  </si>
  <si>
    <t>TAU824064</t>
  </si>
  <si>
    <t>TAU824065</t>
  </si>
  <si>
    <t>TAU824067</t>
  </si>
  <si>
    <t>TAU824068</t>
  </si>
  <si>
    <t>TAU824070</t>
  </si>
  <si>
    <t>TAU824071</t>
  </si>
  <si>
    <t>TAU824073</t>
  </si>
  <si>
    <t>TAU824074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</si>
</sst>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b/>
      <u/>
      <sz val="10"/>
      <name val="Verdana"/>
      <family val="2"/>
    </font>
    <font>
      <b/>
      <sz val="10"/>
      <name val="Verdan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1" xfId="0" applyFont="1" applyBorder="1"/>
    <xf numFmtId="0" fontId="0" fillId="0" borderId="1" xfId="0" applyBorder="1"/>
    <xf numFmtId="22" fontId="0" fillId="0" borderId="0" xfId="0" applyNumberForma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3" fillId="0" borderId="0" xfId="0" applyNumberFormat="1" applyFont="1" applyAlignment="1">
      <alignment horizontal="left"/>
    </xf>
    <xf numFmtId="0" fontId="0" fillId="0" borderId="1" xfId="0" applyBorder="1" applyAlignment="1">
      <alignment horizontal="left"/>
    </xf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165" fontId="0" fillId="2" borderId="1" xfId="0" applyNumberFormat="1" applyFill="1" applyBorder="1" applyAlignment="1">
      <alignment horizontal="left"/>
    </xf>
    <xf numFmtId="2" fontId="0" fillId="2" borderId="1" xfId="0" applyNumberFormat="1" applyFill="1" applyBorder="1" applyAlignment="1">
      <alignment horizontal="left"/>
    </xf>
    <xf numFmtId="0" fontId="0" fillId="2" borderId="1" xfId="0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</cellXfs>
  <cellStyles count="2">
    <cellStyle name="Normal" xfId="0" builtinId="0"/>
    <cellStyle name="Normal 2" xfId="1" xr:uid="{52A5643C-4D13-40E3-871E-2012150912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876300</xdr:colOff>
      <xdr:row>9</xdr:row>
      <xdr:rowOff>171450</xdr:rowOff>
    </xdr:to>
    <xdr:pic>
      <xdr:nvPicPr>
        <xdr:cNvPr id="7" name="Picture 1" descr="slab with text 3.jpg">
          <a:extLst>
            <a:ext uri="{FF2B5EF4-FFF2-40B4-BE49-F238E27FC236}">
              <a16:creationId xmlns:a16="http://schemas.microsoft.com/office/drawing/2014/main" id="{B57E4693-F9D9-45FF-B3DE-3C6CCB331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54" t="6238" r="17834" b="5814"/>
        <a:stretch>
          <a:fillRect/>
        </a:stretch>
      </xdr:blipFill>
      <xdr:spPr bwMode="auto">
        <a:xfrm>
          <a:off x="0" y="0"/>
          <a:ext cx="3048000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BBCF-8AA1-4C61-9CB0-F1552C5D92F2}">
  <dimension ref="A1:G84"/>
  <sheetViews>
    <sheetView tabSelected="1" topLeftCell="A49" zoomScaleNormal="100" workbookViewId="0">
      <selection activeCell="M80" sqref="M80"/>
    </sheetView>
  </sheetViews>
  <sheetFormatPr defaultRowHeight="15" x14ac:dyDescent="0.25"/>
  <cols>
    <col min="1" max="1" width="32.5703125" bestFit="1" customWidth="1"/>
    <col min="2" max="2" width="15.42578125" bestFit="1" customWidth="1"/>
    <col min="3" max="3" width="12.140625" bestFit="1" customWidth="1"/>
    <col min="4" max="4" width="15.28515625" customWidth="1"/>
    <col min="5" max="5" width="32.5703125" bestFit="1" customWidth="1"/>
    <col min="6" max="6" width="20.85546875" customWidth="1"/>
    <col min="7" max="7" width="19.28515625" customWidth="1"/>
    <col min="8" max="8" width="11.85546875" bestFit="1" customWidth="1"/>
  </cols>
  <sheetData>
    <row r="1" spans="1:7" x14ac:dyDescent="0.25">
      <c r="C1" s="8" t="s">
        <v>18</v>
      </c>
    </row>
    <row r="2" spans="1:7" x14ac:dyDescent="0.25">
      <c r="C2" t="s">
        <v>19</v>
      </c>
    </row>
    <row r="3" spans="1:7" x14ac:dyDescent="0.25">
      <c r="C3" t="s">
        <v>20</v>
      </c>
    </row>
    <row r="4" spans="1:7" x14ac:dyDescent="0.25">
      <c r="C4" t="s">
        <v>21</v>
      </c>
    </row>
    <row r="5" spans="1:7" x14ac:dyDescent="0.25">
      <c r="C5" t="s">
        <v>22</v>
      </c>
    </row>
    <row r="6" spans="1:7" x14ac:dyDescent="0.25">
      <c r="C6" t="s">
        <v>23</v>
      </c>
    </row>
    <row r="7" spans="1:7" x14ac:dyDescent="0.25">
      <c r="C7" t="s">
        <v>24</v>
      </c>
    </row>
    <row r="9" spans="1:7" x14ac:dyDescent="0.25">
      <c r="C9" s="8" t="s">
        <v>25</v>
      </c>
      <c r="E9" s="13">
        <v>45604</v>
      </c>
    </row>
    <row r="10" spans="1:7" x14ac:dyDescent="0.25">
      <c r="C10" s="8"/>
    </row>
    <row r="11" spans="1:7" x14ac:dyDescent="0.25">
      <c r="C11" s="8" t="s">
        <v>26</v>
      </c>
      <c r="D11" t="s">
        <v>32</v>
      </c>
      <c r="F11" s="9"/>
    </row>
    <row r="13" spans="1:7" ht="15" customHeight="1" x14ac:dyDescent="0.25">
      <c r="A13" s="5" t="s">
        <v>12</v>
      </c>
      <c r="B13" s="5" t="s">
        <v>13</v>
      </c>
      <c r="C13" s="5" t="s">
        <v>14</v>
      </c>
      <c r="E13" s="5" t="s">
        <v>12</v>
      </c>
      <c r="F13" s="5" t="s">
        <v>15</v>
      </c>
      <c r="G13" s="5" t="s">
        <v>16</v>
      </c>
    </row>
    <row r="14" spans="1:7" x14ac:dyDescent="0.25">
      <c r="A14" s="6" t="s">
        <v>35</v>
      </c>
      <c r="B14" s="16">
        <f>'Run File 12.10.24'!B17</f>
        <v>0.55238000000000009</v>
      </c>
      <c r="C14" s="16">
        <f>'Run File 12.10.24'!C17</f>
        <v>0.11372142857142857</v>
      </c>
      <c r="E14" s="11" t="str">
        <f>A14</f>
        <v>TAU824001</v>
      </c>
      <c r="F14" s="12">
        <f>B14/12.0107*1000</f>
        <v>45.990658329656064</v>
      </c>
      <c r="G14" s="12">
        <f>C14/14.0067*1000</f>
        <v>8.1190736270091133</v>
      </c>
    </row>
    <row r="15" spans="1:7" x14ac:dyDescent="0.25">
      <c r="A15" s="6" t="s">
        <v>36</v>
      </c>
      <c r="B15" s="16">
        <f>'Run File 12.10.24'!B18</f>
        <v>0.8426800000000001</v>
      </c>
      <c r="C15" s="16">
        <f>'Run File 12.10.24'!C18</f>
        <v>0.12811142857142857</v>
      </c>
      <c r="E15" s="11" t="str">
        <f t="shared" ref="E15:E84" si="0">A15</f>
        <v>TAU824002</v>
      </c>
      <c r="F15" s="12">
        <f t="shared" ref="F15:F84" si="1">B15/12.0107*1000</f>
        <v>70.160773310464847</v>
      </c>
      <c r="G15" s="12">
        <f t="shared" ref="G15:G84" si="2">C15/14.0067*1000</f>
        <v>9.1464391021031783</v>
      </c>
    </row>
    <row r="16" spans="1:7" x14ac:dyDescent="0.25">
      <c r="A16" s="6" t="s">
        <v>37</v>
      </c>
      <c r="B16" s="16">
        <f>'Run File 12.10.24'!B19</f>
        <v>0.81288000000000005</v>
      </c>
      <c r="C16" s="16">
        <f>'Run File 12.10.24'!C19</f>
        <v>0.11895142857142857</v>
      </c>
      <c r="E16" s="11" t="str">
        <f t="shared" si="0"/>
        <v>TAU824003</v>
      </c>
      <c r="F16" s="12">
        <f t="shared" si="1"/>
        <v>67.67965231002357</v>
      </c>
      <c r="G16" s="12">
        <f t="shared" si="2"/>
        <v>8.4924663604866648</v>
      </c>
    </row>
    <row r="17" spans="1:7" x14ac:dyDescent="0.25">
      <c r="A17" s="6" t="s">
        <v>38</v>
      </c>
      <c r="B17" s="16">
        <f>'Run File 12.10.24'!B20</f>
        <v>0.80188000000000004</v>
      </c>
      <c r="C17" s="16">
        <f>'Run File 12.10.24'!C20</f>
        <v>0.12222142857142858</v>
      </c>
      <c r="E17" s="11" t="str">
        <f t="shared" si="0"/>
        <v>TAU824004</v>
      </c>
      <c r="F17" s="12">
        <f t="shared" si="1"/>
        <v>66.763802276303636</v>
      </c>
      <c r="G17" s="12">
        <f t="shared" si="2"/>
        <v>8.725926061915267</v>
      </c>
    </row>
    <row r="18" spans="1:7" x14ac:dyDescent="0.25">
      <c r="A18" s="6" t="s">
        <v>39</v>
      </c>
      <c r="B18" s="16">
        <f>'Run File 12.10.24'!B21</f>
        <v>0.81518000000000013</v>
      </c>
      <c r="C18" s="16">
        <f>'Run File 12.10.24'!C21</f>
        <v>0.11467142857142856</v>
      </c>
      <c r="E18" s="11" t="str">
        <f t="shared" si="0"/>
        <v>TAU824005</v>
      </c>
      <c r="F18" s="12">
        <f t="shared" si="1"/>
        <v>67.871148226165005</v>
      </c>
      <c r="G18" s="12">
        <f t="shared" si="2"/>
        <v>8.1868983109103883</v>
      </c>
    </row>
    <row r="19" spans="1:7" x14ac:dyDescent="0.25">
      <c r="A19" s="6" t="s">
        <v>40</v>
      </c>
      <c r="B19" s="16">
        <f>'Run File 12.10.24'!B22</f>
        <v>0.88138000000000005</v>
      </c>
      <c r="C19" s="16">
        <f>'Run File 12.10.24'!C22</f>
        <v>0.15295142857142857</v>
      </c>
      <c r="E19" s="11" t="str">
        <f t="shared" si="0"/>
        <v>TAU824006</v>
      </c>
      <c r="F19" s="12">
        <f t="shared" si="1"/>
        <v>73.382900247279522</v>
      </c>
      <c r="G19" s="12">
        <f t="shared" si="2"/>
        <v>10.919876100111274</v>
      </c>
    </row>
    <row r="20" spans="1:7" x14ac:dyDescent="0.25">
      <c r="A20" s="6" t="s">
        <v>41</v>
      </c>
      <c r="B20" s="16">
        <f>'Run File 12.10.24'!B23</f>
        <v>1.4578800000000003</v>
      </c>
      <c r="C20" s="16">
        <f>'Run File 12.10.24'!C23</f>
        <v>0.13608142857142858</v>
      </c>
      <c r="E20" s="11" t="str">
        <f t="shared" si="0"/>
        <v>TAU824007</v>
      </c>
      <c r="F20" s="12">
        <f t="shared" si="1"/>
        <v>121.38176792360147</v>
      </c>
      <c r="G20" s="12">
        <f t="shared" si="2"/>
        <v>9.7154525028328287</v>
      </c>
    </row>
    <row r="21" spans="1:7" x14ac:dyDescent="0.25">
      <c r="A21" s="6" t="s">
        <v>42</v>
      </c>
      <c r="B21" s="16">
        <f>'Run File 12.10.24'!B24</f>
        <v>0.85648000000000013</v>
      </c>
      <c r="C21" s="16">
        <f>'Run File 12.10.24'!C24</f>
        <v>0.13915142857142859</v>
      </c>
      <c r="E21" s="11" t="str">
        <f t="shared" si="0"/>
        <v>TAU824008</v>
      </c>
      <c r="F21" s="12">
        <f t="shared" si="1"/>
        <v>71.309748807313483</v>
      </c>
      <c r="G21" s="12">
        <f t="shared" si="2"/>
        <v>9.9346333234401101</v>
      </c>
    </row>
    <row r="22" spans="1:7" x14ac:dyDescent="0.25">
      <c r="A22" s="6" t="s">
        <v>43</v>
      </c>
      <c r="B22" s="16">
        <f>'Run File 12.10.24'!B25</f>
        <v>0.84448000000000012</v>
      </c>
      <c r="C22" s="16">
        <f>'Run File 12.10.24'!C25</f>
        <v>0.14204142857142857</v>
      </c>
      <c r="E22" s="11" t="str">
        <f t="shared" si="0"/>
        <v>TAU824009</v>
      </c>
      <c r="F22" s="12">
        <f t="shared" si="1"/>
        <v>70.310639679619015</v>
      </c>
      <c r="G22" s="12">
        <f t="shared" si="2"/>
        <v>10.140963151308199</v>
      </c>
    </row>
    <row r="23" spans="1:7" x14ac:dyDescent="0.25">
      <c r="A23" s="6" t="s">
        <v>44</v>
      </c>
      <c r="B23" s="16">
        <f>'Run File 12.10.24'!B26</f>
        <v>0.85078000000000009</v>
      </c>
      <c r="C23" s="16">
        <f>'Run File 12.10.24'!C26</f>
        <v>0.12274142857142857</v>
      </c>
      <c r="E23" s="11" t="str">
        <f t="shared" si="0"/>
        <v>TAU824010</v>
      </c>
      <c r="F23" s="12">
        <f t="shared" si="1"/>
        <v>70.83517197165861</v>
      </c>
      <c r="G23" s="12">
        <f t="shared" si="2"/>
        <v>8.7630511520507035</v>
      </c>
    </row>
    <row r="24" spans="1:7" x14ac:dyDescent="0.25">
      <c r="A24" s="6" t="s">
        <v>45</v>
      </c>
      <c r="B24" s="16">
        <f>'Run File 12.10.24'!B30</f>
        <v>0.86518000000000006</v>
      </c>
      <c r="C24" s="16">
        <f>'Run File 12.10.24'!C30</f>
        <v>0.11679142857142857</v>
      </c>
      <c r="E24" s="11" t="str">
        <f t="shared" si="0"/>
        <v>TAU824011</v>
      </c>
      <c r="F24" s="12">
        <f t="shared" si="1"/>
        <v>72.034102924891968</v>
      </c>
      <c r="G24" s="12">
        <f t="shared" si="2"/>
        <v>8.3382544476163947</v>
      </c>
    </row>
    <row r="25" spans="1:7" x14ac:dyDescent="0.25">
      <c r="A25" s="6" t="s">
        <v>46</v>
      </c>
      <c r="B25" s="16">
        <f>'Run File 12.10.24'!B31</f>
        <v>0.78298000000000012</v>
      </c>
      <c r="C25" s="16">
        <f>'Run File 12.10.24'!C31</f>
        <v>0.14068142857142857</v>
      </c>
      <c r="E25" s="11" t="str">
        <f t="shared" si="0"/>
        <v>TAU824012</v>
      </c>
      <c r="F25" s="12">
        <f t="shared" si="1"/>
        <v>65.190205400184851</v>
      </c>
      <c r="G25" s="12">
        <f t="shared" si="2"/>
        <v>10.043866761723216</v>
      </c>
    </row>
    <row r="26" spans="1:7" x14ac:dyDescent="0.25">
      <c r="A26" s="6" t="s">
        <v>47</v>
      </c>
      <c r="B26" s="16">
        <f>'Run File 12.10.24'!B32</f>
        <v>0.83248000000000011</v>
      </c>
      <c r="C26" s="16">
        <f>'Run File 12.10.24'!C32</f>
        <v>0.14051142857142856</v>
      </c>
      <c r="E26" s="11" t="str">
        <f t="shared" si="0"/>
        <v>TAU824013</v>
      </c>
      <c r="F26" s="12">
        <f t="shared" si="1"/>
        <v>69.311530551924548</v>
      </c>
      <c r="G26" s="12">
        <f t="shared" si="2"/>
        <v>10.031729713025092</v>
      </c>
    </row>
    <row r="27" spans="1:7" x14ac:dyDescent="0.25">
      <c r="A27" s="6" t="s">
        <v>48</v>
      </c>
      <c r="B27" s="16">
        <f>'Run File 12.10.24'!B33</f>
        <v>0.84388000000000007</v>
      </c>
      <c r="C27" s="16">
        <f>'Run File 12.10.24'!C33</f>
        <v>0.14528142857142856</v>
      </c>
      <c r="E27" s="11" t="str">
        <f t="shared" si="0"/>
        <v>TAU824014</v>
      </c>
      <c r="F27" s="12">
        <f t="shared" si="1"/>
        <v>70.260684223234293</v>
      </c>
      <c r="G27" s="12">
        <f t="shared" si="2"/>
        <v>10.372281020613604</v>
      </c>
    </row>
    <row r="28" spans="1:7" x14ac:dyDescent="0.25">
      <c r="A28" s="6" t="s">
        <v>49</v>
      </c>
      <c r="B28" s="16">
        <f>'Run File 12.10.24'!B34</f>
        <v>0.79598000000000013</v>
      </c>
      <c r="C28" s="16">
        <f>'Run File 12.10.24'!C34</f>
        <v>0.12159142857142857</v>
      </c>
      <c r="E28" s="11" t="str">
        <f t="shared" si="0"/>
        <v>TAU824015</v>
      </c>
      <c r="F28" s="12">
        <f t="shared" si="1"/>
        <v>66.272573621853866</v>
      </c>
      <c r="G28" s="12">
        <f t="shared" si="2"/>
        <v>8.6809475873281059</v>
      </c>
    </row>
    <row r="29" spans="1:7" x14ac:dyDescent="0.25">
      <c r="A29" s="6" t="s">
        <v>50</v>
      </c>
      <c r="B29" s="16">
        <f>'Run File 12.10.24'!B35</f>
        <v>0.86818000000000006</v>
      </c>
      <c r="C29" s="16">
        <f>'Run File 12.10.24'!C35</f>
        <v>0.12881142857142858</v>
      </c>
      <c r="E29" s="11" t="str">
        <f t="shared" si="0"/>
        <v>TAU824016</v>
      </c>
      <c r="F29" s="12">
        <f t="shared" si="1"/>
        <v>72.283880206815596</v>
      </c>
      <c r="G29" s="12">
        <f t="shared" si="2"/>
        <v>9.196415184977802</v>
      </c>
    </row>
    <row r="30" spans="1:7" x14ac:dyDescent="0.25">
      <c r="A30" s="6" t="s">
        <v>51</v>
      </c>
      <c r="B30" s="16">
        <f>'Run File 12.10.24'!B36</f>
        <v>1.0948800000000003</v>
      </c>
      <c r="C30" s="16">
        <f>'Run File 12.10.24'!C36</f>
        <v>0.13422142857142857</v>
      </c>
      <c r="E30" s="11" t="str">
        <f t="shared" si="0"/>
        <v>TAU824017</v>
      </c>
      <c r="F30" s="12">
        <f t="shared" si="1"/>
        <v>91.158716810843686</v>
      </c>
      <c r="G30" s="12">
        <f t="shared" si="2"/>
        <v>9.5826589111945406</v>
      </c>
    </row>
    <row r="31" spans="1:7" x14ac:dyDescent="0.25">
      <c r="A31" s="6" t="s">
        <v>52</v>
      </c>
      <c r="B31" s="16">
        <f>'Run File 12.10.24'!B37</f>
        <v>0.78638000000000008</v>
      </c>
      <c r="C31" s="16">
        <f>'Run File 12.10.24'!C37</f>
        <v>0.14486142857142859</v>
      </c>
      <c r="E31" s="11" t="str">
        <f t="shared" si="0"/>
        <v>TAU824018</v>
      </c>
      <c r="F31" s="12">
        <f t="shared" si="1"/>
        <v>65.473286319698275</v>
      </c>
      <c r="G31" s="12">
        <f t="shared" si="2"/>
        <v>10.342295370888829</v>
      </c>
    </row>
    <row r="32" spans="1:7" x14ac:dyDescent="0.25">
      <c r="A32" s="6" t="s">
        <v>53</v>
      </c>
      <c r="B32" s="16">
        <f>'Run File 12.10.24'!B38</f>
        <v>0.54688000000000003</v>
      </c>
      <c r="C32" s="16">
        <f>'Run File 12.10.24'!C38</f>
        <v>0.10818142857142857</v>
      </c>
      <c r="E32" s="11" t="str">
        <f t="shared" si="0"/>
        <v>TAU824019</v>
      </c>
      <c r="F32" s="12">
        <f t="shared" si="1"/>
        <v>45.532733312796097</v>
      </c>
      <c r="G32" s="12">
        <f t="shared" si="2"/>
        <v>7.7235486282585164</v>
      </c>
    </row>
    <row r="33" spans="1:7" x14ac:dyDescent="0.25">
      <c r="A33" s="6" t="s">
        <v>54</v>
      </c>
      <c r="B33" s="16">
        <f>'Run File 12.10.24'!B39</f>
        <v>0.81208000000000014</v>
      </c>
      <c r="C33" s="16">
        <f>'Run File 12.10.24'!C39</f>
        <v>0.13028142857142858</v>
      </c>
      <c r="E33" s="11" t="str">
        <f t="shared" si="0"/>
        <v>TAU824020</v>
      </c>
      <c r="F33" s="12">
        <f t="shared" si="1"/>
        <v>67.61304503484395</v>
      </c>
      <c r="G33" s="12">
        <f t="shared" si="2"/>
        <v>9.3013649590145135</v>
      </c>
    </row>
    <row r="34" spans="1:7" x14ac:dyDescent="0.25">
      <c r="A34" s="6" t="s">
        <v>55</v>
      </c>
      <c r="B34" s="16">
        <f>'Run File 12.10.24'!B43</f>
        <v>0.91468000000000005</v>
      </c>
      <c r="C34" s="16">
        <f>'Run File 12.10.24'!C43</f>
        <v>0.13541142857142857</v>
      </c>
      <c r="E34" s="11" t="str">
        <f t="shared" si="0"/>
        <v>TAU824021</v>
      </c>
      <c r="F34" s="12">
        <f t="shared" si="1"/>
        <v>76.155428076631665</v>
      </c>
      <c r="G34" s="12">
        <f t="shared" si="2"/>
        <v>9.667618252081402</v>
      </c>
    </row>
    <row r="35" spans="1:7" x14ac:dyDescent="0.25">
      <c r="A35" s="6" t="s">
        <v>56</v>
      </c>
      <c r="B35" s="16">
        <f>'Run File 12.10.24'!B44</f>
        <v>0.84928000000000003</v>
      </c>
      <c r="C35" s="16">
        <f>'Run File 12.10.24'!C44</f>
        <v>0.13078142857142858</v>
      </c>
      <c r="E35" s="11" t="str">
        <f t="shared" si="0"/>
        <v>TAU824022</v>
      </c>
      <c r="F35" s="12">
        <f t="shared" si="1"/>
        <v>70.710283330696797</v>
      </c>
      <c r="G35" s="12">
        <f t="shared" si="2"/>
        <v>9.3370621610678146</v>
      </c>
    </row>
    <row r="36" spans="1:7" x14ac:dyDescent="0.25">
      <c r="A36" s="6" t="s">
        <v>57</v>
      </c>
      <c r="B36" s="16">
        <f>'Run File 12.10.24'!B45</f>
        <v>0.7972800000000001</v>
      </c>
      <c r="C36" s="16">
        <f>'Run File 12.10.24'!C45</f>
        <v>0.13631142857142858</v>
      </c>
      <c r="E36" s="11" t="str">
        <f t="shared" si="0"/>
        <v>TAU824023</v>
      </c>
      <c r="F36" s="12">
        <f t="shared" si="1"/>
        <v>66.380810444020767</v>
      </c>
      <c r="G36" s="12">
        <f t="shared" si="2"/>
        <v>9.7318732157773482</v>
      </c>
    </row>
    <row r="37" spans="1:7" x14ac:dyDescent="0.25">
      <c r="A37" s="6" t="s">
        <v>58</v>
      </c>
      <c r="B37" s="16">
        <f>'Run File 12.10.24'!B46</f>
        <v>0.76988000000000012</v>
      </c>
      <c r="C37" s="16">
        <f>'Run File 12.10.24'!C46</f>
        <v>0.12677142857142859</v>
      </c>
      <c r="E37" s="11" t="str">
        <f t="shared" si="0"/>
        <v>TAU824024</v>
      </c>
      <c r="F37" s="12">
        <f t="shared" si="1"/>
        <v>64.099511269118381</v>
      </c>
      <c r="G37" s="12">
        <f t="shared" si="2"/>
        <v>9.0507706006003268</v>
      </c>
    </row>
    <row r="38" spans="1:7" x14ac:dyDescent="0.25">
      <c r="A38" s="6" t="s">
        <v>59</v>
      </c>
      <c r="B38" s="16">
        <f>'Run File 12.10.24'!B47</f>
        <v>0.83638000000000012</v>
      </c>
      <c r="C38" s="16">
        <f>'Run File 12.10.24'!C47</f>
        <v>0.11343142857142857</v>
      </c>
      <c r="E38" s="11" t="str">
        <f t="shared" si="0"/>
        <v>TAU824025</v>
      </c>
      <c r="F38" s="12">
        <f t="shared" si="1"/>
        <v>69.636241018425252</v>
      </c>
      <c r="G38" s="12">
        <f t="shared" si="2"/>
        <v>8.0983692498181981</v>
      </c>
    </row>
    <row r="39" spans="1:7" x14ac:dyDescent="0.25">
      <c r="A39" s="6" t="s">
        <v>60</v>
      </c>
      <c r="B39" s="16">
        <f>'Run File 12.10.24'!B48</f>
        <v>0.85018000000000005</v>
      </c>
      <c r="C39" s="16">
        <f>'Run File 12.10.24'!C48</f>
        <v>0.13555142857142857</v>
      </c>
      <c r="E39" s="11" t="str">
        <f t="shared" si="0"/>
        <v>TAU824026</v>
      </c>
      <c r="F39" s="12">
        <f t="shared" si="1"/>
        <v>70.785216515273888</v>
      </c>
      <c r="G39" s="12">
        <f t="shared" si="2"/>
        <v>9.6776134686563271</v>
      </c>
    </row>
    <row r="40" spans="1:7" x14ac:dyDescent="0.25">
      <c r="A40" s="6" t="s">
        <v>61</v>
      </c>
      <c r="B40" s="16">
        <f>'Run File 12.10.24'!B49</f>
        <v>0.80258000000000007</v>
      </c>
      <c r="C40" s="16">
        <f>'Run File 12.10.24'!C49</f>
        <v>0.11802142857142858</v>
      </c>
      <c r="E40" s="11" t="str">
        <f t="shared" si="0"/>
        <v>TAU824027</v>
      </c>
      <c r="F40" s="12">
        <f t="shared" si="1"/>
        <v>66.822083642085815</v>
      </c>
      <c r="G40" s="12">
        <f t="shared" si="2"/>
        <v>8.4260695646675217</v>
      </c>
    </row>
    <row r="41" spans="1:7" x14ac:dyDescent="0.25">
      <c r="A41" s="6" t="s">
        <v>62</v>
      </c>
      <c r="B41" s="16">
        <f>'Run File 12.10.24'!B50</f>
        <v>0.95718000000000003</v>
      </c>
      <c r="C41" s="16">
        <f>'Run File 12.10.24'!C50</f>
        <v>0.13945142857142856</v>
      </c>
      <c r="E41" s="11" t="str">
        <f t="shared" si="0"/>
        <v>TAU824028</v>
      </c>
      <c r="F41" s="12">
        <f t="shared" si="1"/>
        <v>79.693939570549603</v>
      </c>
      <c r="G41" s="12">
        <f t="shared" si="2"/>
        <v>9.9560516446720886</v>
      </c>
    </row>
    <row r="42" spans="1:7" x14ac:dyDescent="0.25">
      <c r="A42" s="6" t="s">
        <v>63</v>
      </c>
      <c r="B42" s="16">
        <f>'Run File 12.10.24'!B51</f>
        <v>0.78598000000000012</v>
      </c>
      <c r="C42" s="16">
        <f>'Run File 12.10.24'!C51</f>
        <v>0.13547142857142858</v>
      </c>
      <c r="E42" s="11" t="str">
        <f t="shared" si="0"/>
        <v>TAU824029</v>
      </c>
      <c r="F42" s="12">
        <f t="shared" si="1"/>
        <v>65.439982682108464</v>
      </c>
      <c r="G42" s="12">
        <f t="shared" si="2"/>
        <v>9.6719019163277977</v>
      </c>
    </row>
    <row r="43" spans="1:7" x14ac:dyDescent="0.25">
      <c r="A43" s="6" t="s">
        <v>64</v>
      </c>
      <c r="B43" s="16">
        <f>'Run File 12.10.24'!B52</f>
        <v>0.84958000000000011</v>
      </c>
      <c r="C43" s="16">
        <f>'Run File 12.10.24'!C52</f>
        <v>0.13989142857142856</v>
      </c>
      <c r="E43" s="11" t="str">
        <f t="shared" si="0"/>
        <v>TAU824030</v>
      </c>
      <c r="F43" s="12">
        <f t="shared" si="1"/>
        <v>70.735261058889165</v>
      </c>
      <c r="G43" s="12">
        <f t="shared" si="2"/>
        <v>9.9874651824789957</v>
      </c>
    </row>
    <row r="44" spans="1:7" x14ac:dyDescent="0.25">
      <c r="A44" s="6" t="s">
        <v>65</v>
      </c>
      <c r="B44" s="16">
        <f>'Run File 12.10.24'!B56</f>
        <v>0.77588000000000013</v>
      </c>
      <c r="C44" s="16">
        <f>'Run File 12.10.24'!C56</f>
        <v>0.13751142857142856</v>
      </c>
      <c r="E44" s="11" t="str">
        <f t="shared" si="0"/>
        <v>TAU824031</v>
      </c>
      <c r="F44" s="12">
        <f t="shared" si="1"/>
        <v>64.599065832965607</v>
      </c>
      <c r="G44" s="12">
        <f t="shared" si="2"/>
        <v>9.8175465007052747</v>
      </c>
    </row>
    <row r="45" spans="1:7" x14ac:dyDescent="0.25">
      <c r="A45" s="6" t="s">
        <v>66</v>
      </c>
      <c r="B45" s="16">
        <f>'Run File 12.10.24'!B57</f>
        <v>0.74158000000000013</v>
      </c>
      <c r="C45" s="16">
        <f>'Run File 12.10.24'!C57</f>
        <v>0.11731142857142857</v>
      </c>
      <c r="E45" s="11" t="str">
        <f t="shared" si="0"/>
        <v>TAU824032</v>
      </c>
      <c r="F45" s="12">
        <f t="shared" si="1"/>
        <v>61.743278909638917</v>
      </c>
      <c r="G45" s="12">
        <f t="shared" si="2"/>
        <v>8.3753795377518294</v>
      </c>
    </row>
    <row r="46" spans="1:7" x14ac:dyDescent="0.25">
      <c r="A46" s="6" t="s">
        <v>67</v>
      </c>
      <c r="B46" s="16">
        <f>'Run File 12.10.24'!B58</f>
        <v>0.78148000000000006</v>
      </c>
      <c r="C46" s="16">
        <f>'Run File 12.10.24'!C58</f>
        <v>0.12071142857142857</v>
      </c>
      <c r="E46" s="11" t="str">
        <f t="shared" si="0"/>
        <v>TAU824033</v>
      </c>
      <c r="F46" s="12">
        <f t="shared" si="1"/>
        <v>65.065316759223023</v>
      </c>
      <c r="G46" s="12">
        <f t="shared" si="2"/>
        <v>8.6181205117142898</v>
      </c>
    </row>
    <row r="47" spans="1:7" x14ac:dyDescent="0.25">
      <c r="A47" s="6" t="s">
        <v>68</v>
      </c>
      <c r="B47" s="16">
        <f>'Run File 12.10.24'!B59</f>
        <v>0.71988000000000008</v>
      </c>
      <c r="C47" s="16">
        <f>'Run File 12.10.24'!C59</f>
        <v>0.12953142857142858</v>
      </c>
      <c r="E47" s="11" t="str">
        <f t="shared" si="0"/>
        <v>TAU824034</v>
      </c>
      <c r="F47" s="12">
        <f t="shared" si="1"/>
        <v>59.93655657039141</v>
      </c>
      <c r="G47" s="12">
        <f t="shared" si="2"/>
        <v>9.2478191559345575</v>
      </c>
    </row>
    <row r="48" spans="1:7" x14ac:dyDescent="0.25">
      <c r="A48" s="6" t="s">
        <v>69</v>
      </c>
      <c r="B48" s="16">
        <f>'Run File 12.10.24'!B60</f>
        <v>0.75718000000000008</v>
      </c>
      <c r="C48" s="16">
        <f>'Run File 12.10.24'!C60</f>
        <v>0.12194142857142858</v>
      </c>
      <c r="E48" s="11" t="str">
        <f t="shared" si="0"/>
        <v>TAU824035</v>
      </c>
      <c r="F48" s="12">
        <f t="shared" si="1"/>
        <v>63.042120775641727</v>
      </c>
      <c r="G48" s="12">
        <f t="shared" si="2"/>
        <v>8.7059356287654186</v>
      </c>
    </row>
    <row r="49" spans="1:7" x14ac:dyDescent="0.25">
      <c r="A49" s="6" t="s">
        <v>70</v>
      </c>
      <c r="B49" s="16">
        <f>'Run File 12.10.24'!B61</f>
        <v>0.86518000000000006</v>
      </c>
      <c r="C49" s="16">
        <f>'Run File 12.10.24'!C61</f>
        <v>0.15466142857142856</v>
      </c>
      <c r="E49" s="11" t="str">
        <f t="shared" si="0"/>
        <v>TAU824036</v>
      </c>
      <c r="F49" s="12">
        <f t="shared" si="1"/>
        <v>72.034102924891968</v>
      </c>
      <c r="G49" s="12">
        <f t="shared" si="2"/>
        <v>11.041960531133569</v>
      </c>
    </row>
    <row r="50" spans="1:7" x14ac:dyDescent="0.25">
      <c r="A50" s="6" t="s">
        <v>71</v>
      </c>
      <c r="B50" s="16">
        <f>'Run File 12.10.24'!B62</f>
        <v>0.47198000000000007</v>
      </c>
      <c r="C50" s="16">
        <f>'Run File 12.10.24'!C62</f>
        <v>9.9391428571428575E-2</v>
      </c>
      <c r="E50" s="11" t="str">
        <f t="shared" ref="E50:E59" si="3">A50</f>
        <v>TAU824037</v>
      </c>
      <c r="F50" s="12">
        <f t="shared" ref="F50:F59" si="4">B50/12.0107*1000</f>
        <v>39.296627174103094</v>
      </c>
      <c r="G50" s="12">
        <f t="shared" ref="G50:G59" si="5">C50/14.0067*1000</f>
        <v>7.0959918161614493</v>
      </c>
    </row>
    <row r="51" spans="1:7" x14ac:dyDescent="0.25">
      <c r="A51" s="6" t="s">
        <v>72</v>
      </c>
      <c r="B51" s="16">
        <f>'Run File 12.10.24'!B63</f>
        <v>0.79458000000000006</v>
      </c>
      <c r="C51" s="16">
        <f>'Run File 12.10.24'!C63</f>
        <v>0.15372142857142856</v>
      </c>
      <c r="E51" s="11" t="str">
        <f t="shared" si="3"/>
        <v>TAU824038</v>
      </c>
      <c r="F51" s="12">
        <f t="shared" si="4"/>
        <v>66.156010890289494</v>
      </c>
      <c r="G51" s="12">
        <f t="shared" si="5"/>
        <v>10.974849791273359</v>
      </c>
    </row>
    <row r="52" spans="1:7" x14ac:dyDescent="0.25">
      <c r="A52" s="6" t="s">
        <v>73</v>
      </c>
      <c r="B52" s="16">
        <f>'Run File 12.10.24'!B64</f>
        <v>0.81888000000000005</v>
      </c>
      <c r="C52" s="16">
        <f>'Run File 12.10.24'!C64</f>
        <v>0.15066142857142856</v>
      </c>
      <c r="E52" s="11" t="str">
        <f t="shared" si="3"/>
        <v>TAU824039</v>
      </c>
      <c r="F52" s="12">
        <f t="shared" si="4"/>
        <v>68.179206873870797</v>
      </c>
      <c r="G52" s="12">
        <f t="shared" si="5"/>
        <v>10.756382914707144</v>
      </c>
    </row>
    <row r="53" spans="1:7" x14ac:dyDescent="0.25">
      <c r="A53" s="6" t="s">
        <v>74</v>
      </c>
      <c r="B53" s="16">
        <f>'Run File 12.10.24'!B65</f>
        <v>0.83338000000000012</v>
      </c>
      <c r="C53" s="16">
        <f>'Run File 12.10.24'!C65</f>
        <v>0.13440142857142856</v>
      </c>
      <c r="E53" s="11" t="str">
        <f t="shared" si="3"/>
        <v>TAU824040</v>
      </c>
      <c r="F53" s="12">
        <f t="shared" si="4"/>
        <v>69.386463736501639</v>
      </c>
      <c r="G53" s="12">
        <f t="shared" si="5"/>
        <v>9.5955099039337277</v>
      </c>
    </row>
    <row r="54" spans="1:7" x14ac:dyDescent="0.25">
      <c r="A54" s="6" t="s">
        <v>75</v>
      </c>
      <c r="B54" s="16">
        <f>'Run File 12.10.24'!B69</f>
        <v>0.78928000000000009</v>
      </c>
      <c r="C54" s="16">
        <f>'Run File 12.10.24'!C69</f>
        <v>0.13272142857142857</v>
      </c>
      <c r="E54" s="11" t="str">
        <f t="shared" si="3"/>
        <v>TAU824041</v>
      </c>
      <c r="F54" s="12">
        <f t="shared" si="4"/>
        <v>65.714737692224446</v>
      </c>
      <c r="G54" s="12">
        <f t="shared" si="5"/>
        <v>9.4755673050346321</v>
      </c>
    </row>
    <row r="55" spans="1:7" x14ac:dyDescent="0.25">
      <c r="A55" s="6" t="s">
        <v>76</v>
      </c>
      <c r="B55" s="16">
        <f>'Run File 12.10.24'!B70</f>
        <v>0.85408000000000006</v>
      </c>
      <c r="C55" s="16">
        <f>'Run File 12.10.24'!C70</f>
        <v>0.12574142857142856</v>
      </c>
      <c r="E55" s="11" t="str">
        <f t="shared" si="3"/>
        <v>TAU824042</v>
      </c>
      <c r="F55" s="12">
        <f t="shared" si="4"/>
        <v>71.109926981774592</v>
      </c>
      <c r="G55" s="12">
        <f t="shared" si="5"/>
        <v>8.9772343643705188</v>
      </c>
    </row>
    <row r="56" spans="1:7" x14ac:dyDescent="0.25">
      <c r="A56" s="6" t="s">
        <v>77</v>
      </c>
      <c r="B56" s="16">
        <f>'Run File 12.10.24'!B71</f>
        <v>0.79538000000000009</v>
      </c>
      <c r="C56" s="16">
        <f>'Run File 12.10.24'!C71</f>
        <v>0.12326142857142858</v>
      </c>
      <c r="E56" s="11" t="str">
        <f t="shared" si="3"/>
        <v>TAU824043</v>
      </c>
      <c r="F56" s="12">
        <f t="shared" si="4"/>
        <v>66.222618165469129</v>
      </c>
      <c r="G56" s="12">
        <f t="shared" si="5"/>
        <v>8.8001762421861365</v>
      </c>
    </row>
    <row r="57" spans="1:7" x14ac:dyDescent="0.25">
      <c r="A57" s="6" t="s">
        <v>78</v>
      </c>
      <c r="B57" s="16">
        <f>'Run File 12.10.24'!B72</f>
        <v>0.85228000000000004</v>
      </c>
      <c r="C57" s="16">
        <f>'Run File 12.10.24'!C72</f>
        <v>0.13263142857142857</v>
      </c>
      <c r="E57" s="11" t="str">
        <f t="shared" si="3"/>
        <v>TAU824044</v>
      </c>
      <c r="F57" s="12">
        <f t="shared" si="4"/>
        <v>70.960060612620424</v>
      </c>
      <c r="G57" s="12">
        <f t="shared" si="5"/>
        <v>9.4691418086650359</v>
      </c>
    </row>
    <row r="58" spans="1:7" x14ac:dyDescent="0.25">
      <c r="A58" s="6" t="s">
        <v>79</v>
      </c>
      <c r="B58" s="16">
        <f>'Run File 12.10.24'!B73</f>
        <v>0.78928000000000009</v>
      </c>
      <c r="C58" s="16">
        <f>'Run File 12.10.24'!C73</f>
        <v>0.12190142857142858</v>
      </c>
      <c r="E58" s="11" t="str">
        <f t="shared" si="3"/>
        <v>TAU824045</v>
      </c>
      <c r="F58" s="12">
        <f t="shared" si="4"/>
        <v>65.714737692224446</v>
      </c>
      <c r="G58" s="12">
        <f t="shared" si="5"/>
        <v>8.703079852601153</v>
      </c>
    </row>
    <row r="59" spans="1:7" x14ac:dyDescent="0.25">
      <c r="A59" s="6" t="s">
        <v>80</v>
      </c>
      <c r="B59" s="16">
        <f>'Run File 12.10.24'!B74</f>
        <v>0.77428000000000008</v>
      </c>
      <c r="C59" s="16">
        <f>'Run File 12.10.24'!C74</f>
        <v>0.13285142857142856</v>
      </c>
      <c r="E59" s="11" t="str">
        <f t="shared" si="3"/>
        <v>TAU824046</v>
      </c>
      <c r="F59" s="12">
        <f t="shared" si="4"/>
        <v>64.465851282606351</v>
      </c>
      <c r="G59" s="12">
        <f t="shared" si="5"/>
        <v>9.4848485775684903</v>
      </c>
    </row>
    <row r="60" spans="1:7" x14ac:dyDescent="0.25">
      <c r="A60" s="6" t="s">
        <v>81</v>
      </c>
      <c r="B60" s="16">
        <f>'Run File 12.10.24'!B75</f>
        <v>0.79168000000000005</v>
      </c>
      <c r="C60" s="16">
        <f>'Run File 12.10.24'!C75</f>
        <v>0.12343142857142857</v>
      </c>
      <c r="E60" s="11" t="str">
        <f t="shared" si="0"/>
        <v>TAU824047</v>
      </c>
      <c r="F60" s="12">
        <f t="shared" si="1"/>
        <v>65.914559517763337</v>
      </c>
      <c r="G60" s="12">
        <f t="shared" si="2"/>
        <v>8.8123132908842603</v>
      </c>
    </row>
    <row r="61" spans="1:7" x14ac:dyDescent="0.25">
      <c r="A61" s="6" t="s">
        <v>82</v>
      </c>
      <c r="B61" s="16">
        <f>'Run File 12.10.24'!B76</f>
        <v>0.68158000000000007</v>
      </c>
      <c r="C61" s="16">
        <f>'Run File 12.10.24'!C76</f>
        <v>0.12779142857142856</v>
      </c>
      <c r="E61" s="11" t="str">
        <f t="shared" si="0"/>
        <v>TAU824048</v>
      </c>
      <c r="F61" s="12">
        <f t="shared" si="1"/>
        <v>56.747733271166553</v>
      </c>
      <c r="G61" s="12">
        <f t="shared" si="2"/>
        <v>9.1235928927890608</v>
      </c>
    </row>
    <row r="62" spans="1:7" x14ac:dyDescent="0.25">
      <c r="A62" s="6" t="s">
        <v>83</v>
      </c>
      <c r="B62" s="16">
        <f>'Run File 12.10.24'!B77</f>
        <v>0.78748000000000007</v>
      </c>
      <c r="C62" s="16">
        <f>'Run File 12.10.24'!C77</f>
        <v>0.13233142857142857</v>
      </c>
      <c r="E62" s="11" t="str">
        <f t="shared" si="0"/>
        <v>TAU824049</v>
      </c>
      <c r="F62" s="12">
        <f t="shared" si="1"/>
        <v>65.564871323070264</v>
      </c>
      <c r="G62" s="12">
        <f t="shared" si="2"/>
        <v>9.4477234874330556</v>
      </c>
    </row>
    <row r="63" spans="1:7" x14ac:dyDescent="0.25">
      <c r="A63" s="6" t="s">
        <v>84</v>
      </c>
      <c r="B63" s="16">
        <f>'Run File 12.10.24'!B78</f>
        <v>0.72608000000000006</v>
      </c>
      <c r="C63" s="16">
        <f>'Run File 12.10.24'!C78</f>
        <v>0.11459142857142857</v>
      </c>
      <c r="E63" s="11" t="str">
        <f t="shared" si="0"/>
        <v>TAU824050</v>
      </c>
      <c r="F63" s="12">
        <f t="shared" si="1"/>
        <v>60.452762953033549</v>
      </c>
      <c r="G63" s="12">
        <f t="shared" si="2"/>
        <v>8.1811867585818625</v>
      </c>
    </row>
    <row r="64" spans="1:7" x14ac:dyDescent="0.25">
      <c r="A64" s="6" t="s">
        <v>85</v>
      </c>
      <c r="B64" s="16">
        <f>'Run File 12.10.24'!B82</f>
        <v>0.80518000000000012</v>
      </c>
      <c r="C64" s="16">
        <f>'Run File 12.10.24'!C82</f>
        <v>0.13281142857142858</v>
      </c>
      <c r="E64" s="11" t="str">
        <f t="shared" si="0"/>
        <v>TAU824051</v>
      </c>
      <c r="F64" s="12">
        <f t="shared" si="1"/>
        <v>67.038557286419618</v>
      </c>
      <c r="G64" s="12">
        <f t="shared" si="2"/>
        <v>9.4819928014042265</v>
      </c>
    </row>
    <row r="65" spans="1:7" x14ac:dyDescent="0.25">
      <c r="A65" s="6" t="s">
        <v>86</v>
      </c>
      <c r="B65" s="16">
        <f>'Run File 12.10.24'!B83</f>
        <v>0.81448000000000009</v>
      </c>
      <c r="C65" s="16">
        <f>'Run File 12.10.24'!C83</f>
        <v>0.13020142857142858</v>
      </c>
      <c r="E65" s="11" t="str">
        <f t="shared" si="0"/>
        <v>TAU824052</v>
      </c>
      <c r="F65" s="12">
        <f t="shared" si="1"/>
        <v>67.81286686038284</v>
      </c>
      <c r="G65" s="12">
        <f t="shared" si="2"/>
        <v>9.2956534066859842</v>
      </c>
    </row>
    <row r="66" spans="1:7" x14ac:dyDescent="0.25">
      <c r="A66" s="6" t="s">
        <v>87</v>
      </c>
      <c r="B66" s="16">
        <f>'Run File 12.10.24'!B84</f>
        <v>0.74768000000000012</v>
      </c>
      <c r="C66" s="16">
        <f>'Run File 12.10.24'!C84</f>
        <v>0.11795142857142857</v>
      </c>
      <c r="E66" s="11" t="str">
        <f t="shared" si="0"/>
        <v>TAU824053</v>
      </c>
      <c r="F66" s="12">
        <f t="shared" si="1"/>
        <v>62.251159382883607</v>
      </c>
      <c r="G66" s="12">
        <f t="shared" si="2"/>
        <v>8.4210719563800591</v>
      </c>
    </row>
    <row r="67" spans="1:7" x14ac:dyDescent="0.25">
      <c r="A67" s="6" t="s">
        <v>88</v>
      </c>
      <c r="B67" s="16">
        <f>'Run File 12.10.24'!B85</f>
        <v>0.64748000000000006</v>
      </c>
      <c r="C67" s="16">
        <f>'Run File 12.10.24'!C85</f>
        <v>0.11863142857142858</v>
      </c>
      <c r="E67" s="11" t="str">
        <f t="shared" si="0"/>
        <v>TAU824054</v>
      </c>
      <c r="F67" s="12">
        <f t="shared" si="1"/>
        <v>53.908598166634754</v>
      </c>
      <c r="G67" s="12">
        <f t="shared" si="2"/>
        <v>8.4696201511725508</v>
      </c>
    </row>
    <row r="68" spans="1:7" x14ac:dyDescent="0.25">
      <c r="A68" s="6" t="s">
        <v>89</v>
      </c>
      <c r="B68" s="16">
        <f>'Run File 12.10.24'!B86</f>
        <v>0.42828000000000011</v>
      </c>
      <c r="C68" s="16">
        <f>'Run File 12.10.24'!C86</f>
        <v>9.6961428571428573E-2</v>
      </c>
      <c r="E68" s="11" t="str">
        <f t="shared" si="0"/>
        <v>TAU824055</v>
      </c>
      <c r="F68" s="12">
        <f t="shared" si="1"/>
        <v>35.658204767415725</v>
      </c>
      <c r="G68" s="12">
        <f t="shared" si="2"/>
        <v>6.9225034141823967</v>
      </c>
    </row>
    <row r="69" spans="1:7" x14ac:dyDescent="0.25">
      <c r="A69" s="6" t="s">
        <v>90</v>
      </c>
      <c r="B69" s="16">
        <f>'Run File 12.10.24'!B87</f>
        <v>0.77778000000000003</v>
      </c>
      <c r="C69" s="16">
        <f>'Run File 12.10.24'!C87</f>
        <v>0.12604142857142858</v>
      </c>
      <c r="E69" s="11" t="str">
        <f t="shared" si="0"/>
        <v>TAU824056</v>
      </c>
      <c r="F69" s="12">
        <f t="shared" si="1"/>
        <v>64.757258111517231</v>
      </c>
      <c r="G69" s="12">
        <f t="shared" si="2"/>
        <v>8.9986526856025026</v>
      </c>
    </row>
    <row r="70" spans="1:7" x14ac:dyDescent="0.25">
      <c r="A70" s="6" t="s">
        <v>91</v>
      </c>
      <c r="B70" s="16">
        <f>'Run File 12.10.24'!B88</f>
        <v>0.84688000000000008</v>
      </c>
      <c r="C70" s="16">
        <f>'Run File 12.10.24'!C88</f>
        <v>0.13738142857142857</v>
      </c>
      <c r="E70" s="11" t="str">
        <f t="shared" si="0"/>
        <v>TAU824057</v>
      </c>
      <c r="F70" s="12">
        <f t="shared" si="1"/>
        <v>70.510461505157906</v>
      </c>
      <c r="G70" s="12">
        <f t="shared" si="2"/>
        <v>9.8082652281714164</v>
      </c>
    </row>
    <row r="71" spans="1:7" x14ac:dyDescent="0.25">
      <c r="A71" s="6" t="s">
        <v>92</v>
      </c>
      <c r="B71" s="16">
        <f>'Run File 12.10.24'!B89</f>
        <v>0.80388000000000004</v>
      </c>
      <c r="C71" s="16">
        <f>'Run File 12.10.24'!C89</f>
        <v>0.13578142857142855</v>
      </c>
      <c r="E71" s="11" t="str">
        <f t="shared" si="0"/>
        <v>TAU824058</v>
      </c>
      <c r="F71" s="12">
        <f t="shared" si="1"/>
        <v>66.930320464252702</v>
      </c>
      <c r="G71" s="12">
        <f t="shared" si="2"/>
        <v>9.6940341816008448</v>
      </c>
    </row>
    <row r="72" spans="1:7" x14ac:dyDescent="0.25">
      <c r="A72" s="6" t="s">
        <v>93</v>
      </c>
      <c r="B72" s="16">
        <f>'Run File 12.10.24'!B90</f>
        <v>0.82128000000000012</v>
      </c>
      <c r="C72" s="16">
        <f>'Run File 12.10.24'!C90</f>
        <v>0.12740142857142855</v>
      </c>
      <c r="E72" s="11" t="str">
        <f t="shared" si="0"/>
        <v>TAU824059</v>
      </c>
      <c r="F72" s="12">
        <f t="shared" si="1"/>
        <v>68.379028699409702</v>
      </c>
      <c r="G72" s="12">
        <f t="shared" si="2"/>
        <v>9.0957490751874843</v>
      </c>
    </row>
    <row r="73" spans="1:7" x14ac:dyDescent="0.25">
      <c r="A73" s="6" t="s">
        <v>94</v>
      </c>
      <c r="B73" s="16">
        <f>'Run File 12.10.24'!B91</f>
        <v>0.70068000000000008</v>
      </c>
      <c r="C73" s="16">
        <f>'Run File 12.10.24'!C91</f>
        <v>0.11999142857142857</v>
      </c>
      <c r="E73" s="11" t="str">
        <f t="shared" si="0"/>
        <v>TAU824060</v>
      </c>
      <c r="F73" s="12">
        <f t="shared" si="1"/>
        <v>58.337981966080257</v>
      </c>
      <c r="G73" s="12">
        <f t="shared" si="2"/>
        <v>8.5667165407575343</v>
      </c>
    </row>
    <row r="74" spans="1:7" x14ac:dyDescent="0.25">
      <c r="A74" s="6" t="s">
        <v>95</v>
      </c>
      <c r="B74" s="16">
        <f>'Run File 12.13.24'!B17</f>
        <v>0.81768333333333332</v>
      </c>
      <c r="C74" s="16">
        <f>'Run File 12.13.24'!C17</f>
        <v>0.14613333333333339</v>
      </c>
      <c r="E74" s="11" t="str">
        <f t="shared" si="0"/>
        <v>TAU824061</v>
      </c>
      <c r="F74" s="12">
        <f t="shared" si="1"/>
        <v>68.079573491414592</v>
      </c>
      <c r="G74" s="12">
        <f t="shared" si="2"/>
        <v>10.433102253445378</v>
      </c>
    </row>
    <row r="75" spans="1:7" x14ac:dyDescent="0.25">
      <c r="A75" s="6" t="s">
        <v>96</v>
      </c>
      <c r="B75" s="16">
        <f>'Run File 12.13.24'!B18</f>
        <v>0.75878333333333325</v>
      </c>
      <c r="C75" s="16">
        <f>'Run File 12.13.24'!C18</f>
        <v>0.12892333333333339</v>
      </c>
      <c r="E75" s="11" t="str">
        <f t="shared" si="0"/>
        <v>TAU824062</v>
      </c>
      <c r="F75" s="12">
        <f t="shared" si="1"/>
        <v>63.175612856314217</v>
      </c>
      <c r="G75" s="12">
        <f t="shared" si="2"/>
        <v>9.2044045587706869</v>
      </c>
    </row>
    <row r="76" spans="1:7" x14ac:dyDescent="0.25">
      <c r="A76" s="6" t="s">
        <v>97</v>
      </c>
      <c r="B76" s="16">
        <f>'Run File 12.13.24'!B19</f>
        <v>0.53538333333333332</v>
      </c>
      <c r="C76" s="16">
        <f>'Run File 12.13.24'!C19</f>
        <v>0.12426333333333339</v>
      </c>
      <c r="E76" s="11" t="str">
        <f t="shared" si="0"/>
        <v>TAU824063</v>
      </c>
      <c r="F76" s="12">
        <f t="shared" si="1"/>
        <v>44.575531262402137</v>
      </c>
      <c r="G76" s="12">
        <f t="shared" si="2"/>
        <v>8.8717066356339025</v>
      </c>
    </row>
    <row r="77" spans="1:7" x14ac:dyDescent="0.25">
      <c r="A77" s="6" t="s">
        <v>98</v>
      </c>
      <c r="B77" s="16">
        <f>'Run File 12.13.24'!B20</f>
        <v>0.3349833333333333</v>
      </c>
      <c r="C77" s="16">
        <f>'Run File 12.13.24'!C20</f>
        <v>0.10943333333333338</v>
      </c>
      <c r="E77" s="11" t="str">
        <f t="shared" si="0"/>
        <v>TAU824064</v>
      </c>
      <c r="F77" s="12">
        <f t="shared" si="1"/>
        <v>27.890408829904441</v>
      </c>
      <c r="G77" s="12">
        <f t="shared" si="2"/>
        <v>7.8129276227329338</v>
      </c>
    </row>
    <row r="78" spans="1:7" x14ac:dyDescent="0.25">
      <c r="A78" s="6" t="s">
        <v>99</v>
      </c>
      <c r="B78" s="16">
        <f>'Run File 12.13.24'!B21</f>
        <v>0.81898333333333329</v>
      </c>
      <c r="C78" s="16">
        <f>'Run File 12.13.24'!C21</f>
        <v>0.14113333333333339</v>
      </c>
      <c r="E78" s="11" t="str">
        <f t="shared" si="0"/>
        <v>TAU824065</v>
      </c>
      <c r="F78" s="12">
        <f t="shared" si="1"/>
        <v>68.187810313581494</v>
      </c>
      <c r="G78" s="12">
        <f t="shared" si="2"/>
        <v>10.076130232912348</v>
      </c>
    </row>
    <row r="79" spans="1:7" x14ac:dyDescent="0.25">
      <c r="A79" s="6" t="s">
        <v>100</v>
      </c>
      <c r="B79" s="16">
        <f>'Run File 12.13.24'!B22</f>
        <v>0.76118333333333332</v>
      </c>
      <c r="C79" s="16">
        <f>'Run File 12.13.24'!C22</f>
        <v>0.13028333333333339</v>
      </c>
      <c r="E79" s="11" t="str">
        <f t="shared" si="0"/>
        <v>TAU824067</v>
      </c>
      <c r="F79" s="12">
        <f t="shared" si="1"/>
        <v>63.375434681853122</v>
      </c>
      <c r="G79" s="12">
        <f t="shared" si="2"/>
        <v>9.3015009483556721</v>
      </c>
    </row>
    <row r="80" spans="1:7" x14ac:dyDescent="0.25">
      <c r="A80" s="6" t="s">
        <v>101</v>
      </c>
      <c r="B80" s="16">
        <f>'Run File 12.13.24'!B23</f>
        <v>0.78948333333333331</v>
      </c>
      <c r="C80" s="16">
        <f>'Run File 12.13.24'!C23</f>
        <v>0.13574333333333338</v>
      </c>
      <c r="E80" s="11" t="str">
        <f t="shared" si="0"/>
        <v>TAU824068</v>
      </c>
      <c r="F80" s="12">
        <f t="shared" si="1"/>
        <v>65.731667041332585</v>
      </c>
      <c r="G80" s="12">
        <f t="shared" si="2"/>
        <v>9.6913143947777414</v>
      </c>
    </row>
    <row r="81" spans="1:7" x14ac:dyDescent="0.25">
      <c r="A81" s="6" t="s">
        <v>102</v>
      </c>
      <c r="B81" s="16">
        <f>'Run File 12.13.24'!B27</f>
        <v>0.76678333333333326</v>
      </c>
      <c r="C81" s="16">
        <f>'Run File 12.13.24'!C27</f>
        <v>0.13294333333333339</v>
      </c>
      <c r="E81" s="11" t="str">
        <f t="shared" si="0"/>
        <v>TAU824070</v>
      </c>
      <c r="F81" s="12">
        <f t="shared" si="1"/>
        <v>63.841685608110545</v>
      </c>
      <c r="G81" s="12">
        <f t="shared" si="2"/>
        <v>9.4914100632792433</v>
      </c>
    </row>
    <row r="82" spans="1:7" x14ac:dyDescent="0.25">
      <c r="A82" s="6" t="s">
        <v>103</v>
      </c>
      <c r="B82" s="16">
        <f>'Run File 12.13.24'!B28</f>
        <v>0.82728333333333326</v>
      </c>
      <c r="C82" s="16">
        <f>'Run File 12.13.24'!C28</f>
        <v>0.14579333333333339</v>
      </c>
      <c r="E82" s="11" t="str">
        <f t="shared" si="0"/>
        <v>TAU824071</v>
      </c>
      <c r="F82" s="12">
        <f t="shared" si="1"/>
        <v>68.878860793570169</v>
      </c>
      <c r="G82" s="12">
        <f t="shared" si="2"/>
        <v>10.408828156049132</v>
      </c>
    </row>
    <row r="83" spans="1:7" x14ac:dyDescent="0.25">
      <c r="A83" s="6" t="s">
        <v>104</v>
      </c>
      <c r="B83" s="16">
        <f>'Run File 12.13.24'!B29</f>
        <v>0.77898333333333325</v>
      </c>
      <c r="C83" s="16">
        <f>'Run File 12.13.24'!C29</f>
        <v>0.14734333333333338</v>
      </c>
      <c r="E83" s="11" t="str">
        <f t="shared" si="0"/>
        <v>TAU824073</v>
      </c>
      <c r="F83" s="12">
        <f t="shared" si="1"/>
        <v>64.857446554599917</v>
      </c>
      <c r="G83" s="12">
        <f t="shared" si="2"/>
        <v>10.519489482414372</v>
      </c>
    </row>
    <row r="84" spans="1:7" x14ac:dyDescent="0.25">
      <c r="A84" s="6" t="s">
        <v>105</v>
      </c>
      <c r="B84" s="16">
        <f>'Run File 12.13.24'!B30</f>
        <v>1.8048833333333332</v>
      </c>
      <c r="C84" s="16">
        <f>'Run File 12.13.24'!C30</f>
        <v>2.9840333333333335</v>
      </c>
      <c r="E84" s="11" t="str">
        <f t="shared" si="0"/>
        <v>TAU824074</v>
      </c>
      <c r="F84" s="12">
        <f t="shared" si="1"/>
        <v>150.27295106307986</v>
      </c>
      <c r="G84" s="12">
        <f t="shared" si="2"/>
        <v>213.0432816675829</v>
      </c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BC0C-B63E-4F23-AD13-7E3E45EECCC7}">
  <dimension ref="A1:G94"/>
  <sheetViews>
    <sheetView topLeftCell="A56" zoomScaleNormal="100" workbookViewId="0">
      <selection activeCell="L32" sqref="L32"/>
    </sheetView>
  </sheetViews>
  <sheetFormatPr defaultRowHeight="15" x14ac:dyDescent="0.25"/>
  <cols>
    <col min="1" max="1" width="47.28515625" bestFit="1" customWidth="1"/>
    <col min="2" max="2" width="37.140625" bestFit="1" customWidth="1"/>
    <col min="3" max="3" width="14.5703125" customWidth="1"/>
    <col min="5" max="5" width="42.140625" bestFit="1" customWidth="1"/>
    <col min="6" max="6" width="15.5703125" customWidth="1"/>
    <col min="7" max="7" width="14" customWidth="1"/>
  </cols>
  <sheetData>
    <row r="1" spans="1:7" x14ac:dyDescent="0.25">
      <c r="A1" s="1" t="s">
        <v>0</v>
      </c>
      <c r="B1" s="2" t="s">
        <v>1</v>
      </c>
      <c r="D1" s="23" t="s">
        <v>2</v>
      </c>
      <c r="E1" s="24"/>
      <c r="F1" s="24"/>
      <c r="G1" s="25"/>
    </row>
    <row r="2" spans="1:7" ht="15.75" thickBot="1" x14ac:dyDescent="0.3">
      <c r="A2" s="1" t="s">
        <v>3</v>
      </c>
      <c r="B2" s="2">
        <v>1</v>
      </c>
      <c r="D2" s="26"/>
      <c r="E2" s="27"/>
      <c r="F2" s="27"/>
      <c r="G2" s="28"/>
    </row>
    <row r="3" spans="1:7" x14ac:dyDescent="0.25">
      <c r="A3" s="1" t="s">
        <v>4</v>
      </c>
      <c r="B3" s="14" t="s">
        <v>17</v>
      </c>
      <c r="D3" s="29" t="s">
        <v>29</v>
      </c>
      <c r="E3" s="30"/>
      <c r="F3" s="30"/>
      <c r="G3" s="31"/>
    </row>
    <row r="4" spans="1:7" ht="15.75" thickBot="1" x14ac:dyDescent="0.3">
      <c r="A4" s="1" t="s">
        <v>5</v>
      </c>
      <c r="B4" s="17">
        <v>45636</v>
      </c>
      <c r="C4" s="3"/>
      <c r="D4" s="32" t="s">
        <v>30</v>
      </c>
      <c r="E4" s="33"/>
      <c r="F4" s="33"/>
      <c r="G4" s="34"/>
    </row>
    <row r="5" spans="1:7" x14ac:dyDescent="0.25">
      <c r="A5" s="1" t="s">
        <v>6</v>
      </c>
      <c r="B5" s="18" t="s">
        <v>34</v>
      </c>
    </row>
    <row r="7" spans="1:7" ht="15" customHeight="1" x14ac:dyDescent="0.25"/>
    <row r="9" spans="1:7" x14ac:dyDescent="0.25">
      <c r="A9" s="4" t="s">
        <v>7</v>
      </c>
    </row>
    <row r="10" spans="1:7" x14ac:dyDescent="0.25">
      <c r="A10" s="5" t="s">
        <v>8</v>
      </c>
      <c r="B10" s="6" t="s">
        <v>9</v>
      </c>
    </row>
    <row r="11" spans="1:7" x14ac:dyDescent="0.25">
      <c r="A11" s="7"/>
      <c r="B11" s="10"/>
    </row>
    <row r="12" spans="1:7" x14ac:dyDescent="0.25">
      <c r="A12" t="s">
        <v>10</v>
      </c>
      <c r="E12" t="s">
        <v>11</v>
      </c>
    </row>
    <row r="13" spans="1:7" x14ac:dyDescent="0.25">
      <c r="A13" s="1" t="s">
        <v>12</v>
      </c>
      <c r="B13" s="1" t="s">
        <v>13</v>
      </c>
      <c r="C13" s="1" t="s">
        <v>14</v>
      </c>
      <c r="E13" s="1" t="s">
        <v>12</v>
      </c>
      <c r="F13" s="1" t="s">
        <v>15</v>
      </c>
      <c r="G13" s="1" t="s">
        <v>16</v>
      </c>
    </row>
    <row r="14" spans="1:7" x14ac:dyDescent="0.25">
      <c r="A14" s="19" t="s">
        <v>28</v>
      </c>
      <c r="B14" s="20">
        <v>6.8700000000000002E-3</v>
      </c>
      <c r="C14" s="20">
        <v>0</v>
      </c>
      <c r="E14" s="19" t="str">
        <f>A14</f>
        <v>DIW</v>
      </c>
      <c r="F14" s="21">
        <f>B14/12.0107*1000</f>
        <v>0.57198997560508547</v>
      </c>
      <c r="G14" s="21">
        <f>C14/14.0067*1000</f>
        <v>0</v>
      </c>
    </row>
    <row r="15" spans="1:7" x14ac:dyDescent="0.25">
      <c r="A15" s="19" t="s">
        <v>33</v>
      </c>
      <c r="B15" s="20">
        <v>0.89070000000000005</v>
      </c>
      <c r="C15" s="20">
        <v>6.1019999999999998E-2</v>
      </c>
      <c r="E15" s="19" t="str">
        <f>A15</f>
        <v xml:space="preserve">LNSW </v>
      </c>
      <c r="F15" s="21">
        <f>B15/12.0107*1000</f>
        <v>74.158875003122219</v>
      </c>
      <c r="G15" s="21">
        <f>C15/14.0067*1000</f>
        <v>4.3564865385851048</v>
      </c>
    </row>
    <row r="16" spans="1:7" x14ac:dyDescent="0.25">
      <c r="A16" s="19" t="s">
        <v>31</v>
      </c>
      <c r="B16" s="20">
        <v>0.50458000000000003</v>
      </c>
      <c r="C16" s="20">
        <v>0.44047142857142901</v>
      </c>
      <c r="E16" s="19" t="str">
        <f>A16</f>
        <v>DSWR [B24,L05-24]</v>
      </c>
      <c r="F16" s="21">
        <f>B16/12.0107*1000</f>
        <v>42.010873637673079</v>
      </c>
      <c r="G16" s="21">
        <f>C16/14.0067*1000</f>
        <v>31.447195168842693</v>
      </c>
    </row>
    <row r="17" spans="1:7" x14ac:dyDescent="0.25">
      <c r="A17" s="6">
        <v>1</v>
      </c>
      <c r="B17" s="16">
        <v>0.55238000000000009</v>
      </c>
      <c r="C17" s="16">
        <v>0.11372142857142857</v>
      </c>
      <c r="D17" s="15"/>
      <c r="E17" s="6">
        <f>A17</f>
        <v>1</v>
      </c>
      <c r="F17" s="12">
        <f>B17/12.0107*1000</f>
        <v>45.990658329656064</v>
      </c>
      <c r="G17" s="12">
        <f>C17/14.0067*1000</f>
        <v>8.1190736270091133</v>
      </c>
    </row>
    <row r="18" spans="1:7" x14ac:dyDescent="0.25">
      <c r="A18" s="6">
        <v>2</v>
      </c>
      <c r="B18" s="16">
        <v>0.8426800000000001</v>
      </c>
      <c r="C18" s="16">
        <v>0.12811142857142857</v>
      </c>
      <c r="D18" s="15"/>
      <c r="E18" s="6">
        <f>A18</f>
        <v>2</v>
      </c>
      <c r="F18" s="12">
        <f>B18/12.0107*1000</f>
        <v>70.160773310464847</v>
      </c>
      <c r="G18" s="12">
        <f>C18/14.0067*1000</f>
        <v>9.1464391021031783</v>
      </c>
    </row>
    <row r="19" spans="1:7" x14ac:dyDescent="0.25">
      <c r="A19" s="6">
        <v>3</v>
      </c>
      <c r="B19" s="16">
        <v>0.81288000000000005</v>
      </c>
      <c r="C19" s="16">
        <v>0.11895142857142857</v>
      </c>
      <c r="D19" s="15"/>
      <c r="E19" s="6">
        <f t="shared" ref="E19:E21" si="0">A19</f>
        <v>3</v>
      </c>
      <c r="F19" s="12">
        <f t="shared" ref="F19:F21" si="1">B19/12.0107*1000</f>
        <v>67.67965231002357</v>
      </c>
      <c r="G19" s="12">
        <f t="shared" ref="G19:G21" si="2">C19/14.0067*1000</f>
        <v>8.4924663604866648</v>
      </c>
    </row>
    <row r="20" spans="1:7" x14ac:dyDescent="0.25">
      <c r="A20" s="6">
        <v>4</v>
      </c>
      <c r="B20" s="16">
        <v>0.80188000000000004</v>
      </c>
      <c r="C20" s="16">
        <v>0.12222142857142858</v>
      </c>
      <c r="D20" s="15"/>
      <c r="E20" s="6">
        <f t="shared" si="0"/>
        <v>4</v>
      </c>
      <c r="F20" s="12">
        <f t="shared" si="1"/>
        <v>66.763802276303636</v>
      </c>
      <c r="G20" s="12">
        <f t="shared" si="2"/>
        <v>8.725926061915267</v>
      </c>
    </row>
    <row r="21" spans="1:7" x14ac:dyDescent="0.25">
      <c r="A21" s="6">
        <v>5</v>
      </c>
      <c r="B21" s="16">
        <v>0.81518000000000013</v>
      </c>
      <c r="C21" s="16">
        <v>0.11467142857142856</v>
      </c>
      <c r="D21" s="15"/>
      <c r="E21" s="6">
        <f t="shared" si="0"/>
        <v>5</v>
      </c>
      <c r="F21" s="12">
        <f t="shared" si="1"/>
        <v>67.871148226165005</v>
      </c>
      <c r="G21" s="12">
        <f t="shared" si="2"/>
        <v>8.1868983109103883</v>
      </c>
    </row>
    <row r="22" spans="1:7" x14ac:dyDescent="0.25">
      <c r="A22" s="6">
        <v>6</v>
      </c>
      <c r="B22" s="16">
        <v>0.88138000000000005</v>
      </c>
      <c r="C22" s="16">
        <v>0.15295142857142857</v>
      </c>
      <c r="D22" s="15"/>
      <c r="E22" s="6">
        <f t="shared" ref="E22:E38" si="3">A22</f>
        <v>6</v>
      </c>
      <c r="F22" s="12">
        <f t="shared" ref="F22:F55" si="4">B22/12.0107*1000</f>
        <v>73.382900247279522</v>
      </c>
      <c r="G22" s="12">
        <f t="shared" ref="G22:G55" si="5">C22/14.0067*1000</f>
        <v>10.919876100111274</v>
      </c>
    </row>
    <row r="23" spans="1:7" x14ac:dyDescent="0.25">
      <c r="A23" s="6">
        <v>7</v>
      </c>
      <c r="B23" s="16">
        <v>1.4578800000000003</v>
      </c>
      <c r="C23" s="16">
        <v>0.13608142857142858</v>
      </c>
      <c r="D23" s="15"/>
      <c r="E23" s="6">
        <f t="shared" si="3"/>
        <v>7</v>
      </c>
      <c r="F23" s="12">
        <f t="shared" si="4"/>
        <v>121.38176792360147</v>
      </c>
      <c r="G23" s="12">
        <f t="shared" si="5"/>
        <v>9.7154525028328287</v>
      </c>
    </row>
    <row r="24" spans="1:7" x14ac:dyDescent="0.25">
      <c r="A24" s="6">
        <v>8</v>
      </c>
      <c r="B24" s="16">
        <v>0.85648000000000013</v>
      </c>
      <c r="C24" s="16">
        <v>0.13915142857142859</v>
      </c>
      <c r="D24" s="15"/>
      <c r="E24" s="6">
        <f t="shared" si="3"/>
        <v>8</v>
      </c>
      <c r="F24" s="12">
        <f t="shared" si="4"/>
        <v>71.309748807313483</v>
      </c>
      <c r="G24" s="12">
        <f t="shared" si="5"/>
        <v>9.9346333234401101</v>
      </c>
    </row>
    <row r="25" spans="1:7" x14ac:dyDescent="0.25">
      <c r="A25" s="6">
        <v>9</v>
      </c>
      <c r="B25" s="16">
        <v>0.84448000000000012</v>
      </c>
      <c r="C25" s="16">
        <v>0.14204142857142857</v>
      </c>
      <c r="D25" s="15"/>
      <c r="E25" s="6">
        <f t="shared" si="3"/>
        <v>9</v>
      </c>
      <c r="F25" s="12">
        <f t="shared" si="4"/>
        <v>70.310639679619015</v>
      </c>
      <c r="G25" s="12">
        <f t="shared" si="5"/>
        <v>10.140963151308199</v>
      </c>
    </row>
    <row r="26" spans="1:7" x14ac:dyDescent="0.25">
      <c r="A26" s="6">
        <v>10</v>
      </c>
      <c r="B26" s="16">
        <v>0.85078000000000009</v>
      </c>
      <c r="C26" s="16">
        <v>0.12274142857142857</v>
      </c>
      <c r="D26" s="15"/>
      <c r="E26" s="6">
        <f t="shared" si="3"/>
        <v>10</v>
      </c>
      <c r="F26" s="12">
        <f t="shared" si="4"/>
        <v>70.83517197165861</v>
      </c>
      <c r="G26" s="12">
        <f t="shared" si="5"/>
        <v>8.7630511520507035</v>
      </c>
    </row>
    <row r="27" spans="1:7" x14ac:dyDescent="0.25">
      <c r="A27" s="19" t="s">
        <v>28</v>
      </c>
      <c r="B27" s="20">
        <v>-8.8599999999999998E-3</v>
      </c>
      <c r="C27" s="20">
        <v>0</v>
      </c>
      <c r="E27" s="19" t="str">
        <f t="shared" si="3"/>
        <v>DIW</v>
      </c>
      <c r="F27" s="21">
        <f t="shared" si="4"/>
        <v>-0.73767557261441885</v>
      </c>
      <c r="G27" s="21">
        <f t="shared" si="5"/>
        <v>0</v>
      </c>
    </row>
    <row r="28" spans="1:7" x14ac:dyDescent="0.25">
      <c r="A28" s="19" t="s">
        <v>27</v>
      </c>
      <c r="B28" s="20">
        <v>0.91500000000000004</v>
      </c>
      <c r="C28" s="20">
        <v>6.3659999999999994E-2</v>
      </c>
      <c r="E28" s="19" t="str">
        <f t="shared" si="3"/>
        <v>LNSW</v>
      </c>
      <c r="F28" s="21">
        <f t="shared" si="4"/>
        <v>76.182070986703522</v>
      </c>
      <c r="G28" s="21">
        <f t="shared" si="5"/>
        <v>4.5449677654265459</v>
      </c>
    </row>
    <row r="29" spans="1:7" x14ac:dyDescent="0.25">
      <c r="A29" s="19" t="s">
        <v>31</v>
      </c>
      <c r="B29" s="20">
        <v>0.50738000000000005</v>
      </c>
      <c r="C29" s="20">
        <v>0.44907142857142857</v>
      </c>
      <c r="E29" s="19" t="str">
        <f t="shared" si="3"/>
        <v>DSWR [B24,L05-24]</v>
      </c>
      <c r="F29" s="21">
        <f t="shared" si="4"/>
        <v>42.243999100801787</v>
      </c>
      <c r="G29" s="21">
        <f t="shared" si="5"/>
        <v>32.061187044159482</v>
      </c>
    </row>
    <row r="30" spans="1:7" x14ac:dyDescent="0.25">
      <c r="A30" s="6">
        <v>11</v>
      </c>
      <c r="B30" s="16">
        <v>0.86518000000000006</v>
      </c>
      <c r="C30" s="16">
        <v>0.11679142857142857</v>
      </c>
      <c r="E30" s="6">
        <f t="shared" si="3"/>
        <v>11</v>
      </c>
      <c r="F30" s="12">
        <f t="shared" si="4"/>
        <v>72.034102924891968</v>
      </c>
      <c r="G30" s="12">
        <f t="shared" si="5"/>
        <v>8.3382544476163947</v>
      </c>
    </row>
    <row r="31" spans="1:7" x14ac:dyDescent="0.25">
      <c r="A31" s="6">
        <v>12</v>
      </c>
      <c r="B31" s="16">
        <v>0.78298000000000012</v>
      </c>
      <c r="C31" s="16">
        <v>0.14068142857142857</v>
      </c>
      <c r="E31" s="6">
        <f t="shared" si="3"/>
        <v>12</v>
      </c>
      <c r="F31" s="12">
        <f t="shared" si="4"/>
        <v>65.190205400184851</v>
      </c>
      <c r="G31" s="12">
        <f t="shared" si="5"/>
        <v>10.043866761723216</v>
      </c>
    </row>
    <row r="32" spans="1:7" x14ac:dyDescent="0.25">
      <c r="A32" s="6">
        <v>13</v>
      </c>
      <c r="B32" s="16">
        <v>0.83248000000000011</v>
      </c>
      <c r="C32" s="16">
        <v>0.14051142857142856</v>
      </c>
      <c r="E32" s="6">
        <f t="shared" si="3"/>
        <v>13</v>
      </c>
      <c r="F32" s="12">
        <f t="shared" si="4"/>
        <v>69.311530551924548</v>
      </c>
      <c r="G32" s="12">
        <f t="shared" si="5"/>
        <v>10.031729713025092</v>
      </c>
    </row>
    <row r="33" spans="1:7" x14ac:dyDescent="0.25">
      <c r="A33" s="6">
        <v>14</v>
      </c>
      <c r="B33" s="16">
        <v>0.84388000000000007</v>
      </c>
      <c r="C33" s="16">
        <v>0.14528142857142856</v>
      </c>
      <c r="E33" s="6">
        <f t="shared" si="3"/>
        <v>14</v>
      </c>
      <c r="F33" s="12">
        <f t="shared" si="4"/>
        <v>70.260684223234293</v>
      </c>
      <c r="G33" s="12">
        <f t="shared" si="5"/>
        <v>10.372281020613604</v>
      </c>
    </row>
    <row r="34" spans="1:7" x14ac:dyDescent="0.25">
      <c r="A34" s="6">
        <v>15</v>
      </c>
      <c r="B34" s="16">
        <v>0.79598000000000013</v>
      </c>
      <c r="C34" s="16">
        <v>0.12159142857142857</v>
      </c>
      <c r="E34" s="6">
        <f t="shared" si="3"/>
        <v>15</v>
      </c>
      <c r="F34" s="12">
        <f t="shared" si="4"/>
        <v>66.272573621853866</v>
      </c>
      <c r="G34" s="12">
        <f t="shared" si="5"/>
        <v>8.6809475873281059</v>
      </c>
    </row>
    <row r="35" spans="1:7" x14ac:dyDescent="0.25">
      <c r="A35" s="6">
        <v>16</v>
      </c>
      <c r="B35" s="16">
        <v>0.86818000000000006</v>
      </c>
      <c r="C35" s="16">
        <v>0.12881142857142858</v>
      </c>
      <c r="D35" s="15"/>
      <c r="E35" s="6">
        <f t="shared" si="3"/>
        <v>16</v>
      </c>
      <c r="F35" s="12">
        <f t="shared" si="4"/>
        <v>72.283880206815596</v>
      </c>
      <c r="G35" s="12">
        <f t="shared" si="5"/>
        <v>9.196415184977802</v>
      </c>
    </row>
    <row r="36" spans="1:7" x14ac:dyDescent="0.25">
      <c r="A36" s="6">
        <v>17</v>
      </c>
      <c r="B36" s="16">
        <v>1.0948800000000003</v>
      </c>
      <c r="C36" s="16">
        <v>0.13422142857142857</v>
      </c>
      <c r="D36" s="15"/>
      <c r="E36" s="6">
        <f t="shared" si="3"/>
        <v>17</v>
      </c>
      <c r="F36" s="12">
        <f t="shared" si="4"/>
        <v>91.158716810843686</v>
      </c>
      <c r="G36" s="12">
        <f t="shared" si="5"/>
        <v>9.5826589111945406</v>
      </c>
    </row>
    <row r="37" spans="1:7" x14ac:dyDescent="0.25">
      <c r="A37" s="6">
        <v>18</v>
      </c>
      <c r="B37" s="16">
        <v>0.78638000000000008</v>
      </c>
      <c r="C37" s="16">
        <v>0.14486142857142859</v>
      </c>
      <c r="D37" s="15"/>
      <c r="E37" s="6">
        <f t="shared" si="3"/>
        <v>18</v>
      </c>
      <c r="F37" s="12">
        <f t="shared" si="4"/>
        <v>65.473286319698275</v>
      </c>
      <c r="G37" s="12">
        <f t="shared" si="5"/>
        <v>10.342295370888829</v>
      </c>
    </row>
    <row r="38" spans="1:7" x14ac:dyDescent="0.25">
      <c r="A38" s="6">
        <v>19</v>
      </c>
      <c r="B38" s="16">
        <v>0.54688000000000003</v>
      </c>
      <c r="C38" s="16">
        <v>0.10818142857142857</v>
      </c>
      <c r="E38" s="6">
        <f t="shared" si="3"/>
        <v>19</v>
      </c>
      <c r="F38" s="12">
        <f t="shared" si="4"/>
        <v>45.532733312796097</v>
      </c>
      <c r="G38" s="12">
        <f t="shared" si="5"/>
        <v>7.7235486282585164</v>
      </c>
    </row>
    <row r="39" spans="1:7" x14ac:dyDescent="0.25">
      <c r="A39" s="6">
        <v>20</v>
      </c>
      <c r="B39" s="16">
        <v>0.81208000000000014</v>
      </c>
      <c r="C39" s="16">
        <v>0.13028142857142858</v>
      </c>
      <c r="E39" s="6">
        <f>A39</f>
        <v>20</v>
      </c>
      <c r="F39" s="12">
        <f t="shared" si="4"/>
        <v>67.61304503484395</v>
      </c>
      <c r="G39" s="12">
        <f t="shared" si="5"/>
        <v>9.3013649590145135</v>
      </c>
    </row>
    <row r="40" spans="1:7" x14ac:dyDescent="0.25">
      <c r="A40" s="19" t="s">
        <v>28</v>
      </c>
      <c r="B40" s="20">
        <v>-6.8300000000000001E-3</v>
      </c>
      <c r="C40" s="20">
        <v>0</v>
      </c>
      <c r="E40" s="19" t="str">
        <f t="shared" ref="E40:E55" si="6">A40</f>
        <v>DIW</v>
      </c>
      <c r="F40" s="21">
        <f t="shared" si="4"/>
        <v>-0.56865961184610392</v>
      </c>
      <c r="G40" s="21">
        <f t="shared" si="5"/>
        <v>0</v>
      </c>
    </row>
    <row r="41" spans="1:7" x14ac:dyDescent="0.25">
      <c r="A41" s="19" t="s">
        <v>27</v>
      </c>
      <c r="B41" s="20">
        <v>0.87690000000000001</v>
      </c>
      <c r="C41" s="20">
        <v>0.06</v>
      </c>
      <c r="D41" s="15"/>
      <c r="E41" s="19" t="str">
        <f t="shared" si="6"/>
        <v>LNSW</v>
      </c>
      <c r="F41" s="21">
        <f t="shared" si="4"/>
        <v>73.00989950627357</v>
      </c>
      <c r="G41" s="21">
        <f t="shared" si="5"/>
        <v>4.2836642463963672</v>
      </c>
    </row>
    <row r="42" spans="1:7" x14ac:dyDescent="0.25">
      <c r="A42" s="19" t="s">
        <v>31</v>
      </c>
      <c r="B42" s="20">
        <v>0.51078000000000012</v>
      </c>
      <c r="C42" s="20">
        <v>0.44507142857142856</v>
      </c>
      <c r="D42" s="15"/>
      <c r="E42" s="19" t="str">
        <f t="shared" si="6"/>
        <v>DSWR [B24,L05-24]</v>
      </c>
      <c r="F42" s="21">
        <f t="shared" si="4"/>
        <v>42.527080020315232</v>
      </c>
      <c r="G42" s="21">
        <f t="shared" si="5"/>
        <v>31.775609427733052</v>
      </c>
    </row>
    <row r="43" spans="1:7" x14ac:dyDescent="0.25">
      <c r="A43" s="6">
        <v>21</v>
      </c>
      <c r="B43" s="16">
        <v>0.91468000000000005</v>
      </c>
      <c r="C43" s="16">
        <v>0.13541142857142857</v>
      </c>
      <c r="D43" s="15"/>
      <c r="E43" s="6">
        <f t="shared" si="6"/>
        <v>21</v>
      </c>
      <c r="F43" s="12">
        <f t="shared" si="4"/>
        <v>76.155428076631665</v>
      </c>
      <c r="G43" s="12">
        <f t="shared" si="5"/>
        <v>9.667618252081402</v>
      </c>
    </row>
    <row r="44" spans="1:7" x14ac:dyDescent="0.25">
      <c r="A44" s="6">
        <v>22</v>
      </c>
      <c r="B44" s="16">
        <v>0.84928000000000003</v>
      </c>
      <c r="C44" s="16">
        <v>0.13078142857142858</v>
      </c>
      <c r="D44" s="15"/>
      <c r="E44" s="6">
        <f t="shared" si="6"/>
        <v>22</v>
      </c>
      <c r="F44" s="12">
        <f t="shared" si="4"/>
        <v>70.710283330696797</v>
      </c>
      <c r="G44" s="12">
        <f t="shared" si="5"/>
        <v>9.3370621610678146</v>
      </c>
    </row>
    <row r="45" spans="1:7" x14ac:dyDescent="0.25">
      <c r="A45" s="6">
        <v>23</v>
      </c>
      <c r="B45" s="16">
        <v>0.7972800000000001</v>
      </c>
      <c r="C45" s="16">
        <v>0.13631142857142858</v>
      </c>
      <c r="D45" s="15"/>
      <c r="E45" s="6">
        <f t="shared" si="6"/>
        <v>23</v>
      </c>
      <c r="F45" s="12">
        <f t="shared" si="4"/>
        <v>66.380810444020767</v>
      </c>
      <c r="G45" s="12">
        <f t="shared" si="5"/>
        <v>9.7318732157773482</v>
      </c>
    </row>
    <row r="46" spans="1:7" x14ac:dyDescent="0.25">
      <c r="A46" s="6">
        <v>24</v>
      </c>
      <c r="B46" s="16">
        <v>0.76988000000000012</v>
      </c>
      <c r="C46" s="16">
        <v>0.12677142857142859</v>
      </c>
      <c r="D46" s="15"/>
      <c r="E46" s="6">
        <f t="shared" si="6"/>
        <v>24</v>
      </c>
      <c r="F46" s="12">
        <f t="shared" si="4"/>
        <v>64.099511269118381</v>
      </c>
      <c r="G46" s="12">
        <f t="shared" si="5"/>
        <v>9.0507706006003268</v>
      </c>
    </row>
    <row r="47" spans="1:7" x14ac:dyDescent="0.25">
      <c r="A47" s="6">
        <v>25</v>
      </c>
      <c r="B47" s="16">
        <v>0.83638000000000012</v>
      </c>
      <c r="C47" s="16">
        <v>0.11343142857142857</v>
      </c>
      <c r="E47" s="6">
        <f t="shared" si="6"/>
        <v>25</v>
      </c>
      <c r="F47" s="12">
        <f t="shared" si="4"/>
        <v>69.636241018425252</v>
      </c>
      <c r="G47" s="12">
        <f t="shared" si="5"/>
        <v>8.0983692498181981</v>
      </c>
    </row>
    <row r="48" spans="1:7" x14ac:dyDescent="0.25">
      <c r="A48" s="6">
        <v>26</v>
      </c>
      <c r="B48" s="16">
        <v>0.85018000000000005</v>
      </c>
      <c r="C48" s="16">
        <v>0.13555142857142857</v>
      </c>
      <c r="E48" s="6">
        <f t="shared" si="6"/>
        <v>26</v>
      </c>
      <c r="F48" s="12">
        <f t="shared" si="4"/>
        <v>70.785216515273888</v>
      </c>
      <c r="G48" s="12">
        <f t="shared" si="5"/>
        <v>9.6776134686563271</v>
      </c>
    </row>
    <row r="49" spans="1:7" x14ac:dyDescent="0.25">
      <c r="A49" s="6">
        <v>27</v>
      </c>
      <c r="B49" s="16">
        <v>0.80258000000000007</v>
      </c>
      <c r="C49" s="16">
        <v>0.11802142857142858</v>
      </c>
      <c r="E49" s="6">
        <f t="shared" si="6"/>
        <v>27</v>
      </c>
      <c r="F49" s="12">
        <f t="shared" si="4"/>
        <v>66.822083642085815</v>
      </c>
      <c r="G49" s="12">
        <f t="shared" si="5"/>
        <v>8.4260695646675217</v>
      </c>
    </row>
    <row r="50" spans="1:7" x14ac:dyDescent="0.25">
      <c r="A50" s="6">
        <v>28</v>
      </c>
      <c r="B50" s="16">
        <v>0.95718000000000003</v>
      </c>
      <c r="C50" s="16">
        <v>0.13945142857142856</v>
      </c>
      <c r="E50" s="6">
        <f t="shared" si="6"/>
        <v>28</v>
      </c>
      <c r="F50" s="12">
        <f t="shared" si="4"/>
        <v>79.693939570549603</v>
      </c>
      <c r="G50" s="12">
        <f t="shared" si="5"/>
        <v>9.9560516446720886</v>
      </c>
    </row>
    <row r="51" spans="1:7" x14ac:dyDescent="0.25">
      <c r="A51" s="6">
        <v>29</v>
      </c>
      <c r="B51" s="16">
        <v>0.78598000000000012</v>
      </c>
      <c r="C51" s="16">
        <v>0.13547142857142858</v>
      </c>
      <c r="E51" s="6">
        <f t="shared" si="6"/>
        <v>29</v>
      </c>
      <c r="F51" s="12">
        <f t="shared" si="4"/>
        <v>65.439982682108464</v>
      </c>
      <c r="G51" s="12">
        <f t="shared" si="5"/>
        <v>9.6719019163277977</v>
      </c>
    </row>
    <row r="52" spans="1:7" x14ac:dyDescent="0.25">
      <c r="A52" s="6">
        <v>30</v>
      </c>
      <c r="B52" s="16">
        <v>0.84958000000000011</v>
      </c>
      <c r="C52" s="16">
        <v>0.13989142857142856</v>
      </c>
      <c r="E52" s="6">
        <f t="shared" si="6"/>
        <v>30</v>
      </c>
      <c r="F52" s="12">
        <f t="shared" si="4"/>
        <v>70.735261058889165</v>
      </c>
      <c r="G52" s="12">
        <f t="shared" si="5"/>
        <v>9.9874651824789957</v>
      </c>
    </row>
    <row r="53" spans="1:7" x14ac:dyDescent="0.25">
      <c r="A53" s="19" t="s">
        <v>28</v>
      </c>
      <c r="B53" s="20">
        <v>-8.94E-3</v>
      </c>
      <c r="C53" s="20">
        <v>0</v>
      </c>
      <c r="E53" s="19" t="str">
        <f t="shared" si="6"/>
        <v>DIW</v>
      </c>
      <c r="F53" s="21">
        <f t="shared" si="4"/>
        <v>-0.74433630013238206</v>
      </c>
      <c r="G53" s="21">
        <f t="shared" si="5"/>
        <v>0</v>
      </c>
    </row>
    <row r="54" spans="1:7" x14ac:dyDescent="0.25">
      <c r="A54" s="19" t="s">
        <v>27</v>
      </c>
      <c r="B54" s="20">
        <v>0.87780000000000002</v>
      </c>
      <c r="C54" s="20">
        <v>6.2140000000000001E-2</v>
      </c>
      <c r="D54" s="15"/>
      <c r="E54" s="19" t="str">
        <f t="shared" si="6"/>
        <v>LNSW</v>
      </c>
      <c r="F54" s="21">
        <f t="shared" si="4"/>
        <v>73.084832690850661</v>
      </c>
      <c r="G54" s="21">
        <f t="shared" si="5"/>
        <v>4.4364482711845046</v>
      </c>
    </row>
    <row r="55" spans="1:7" x14ac:dyDescent="0.25">
      <c r="A55" s="19" t="s">
        <v>31</v>
      </c>
      <c r="B55" s="20">
        <v>0.51558000000000004</v>
      </c>
      <c r="C55" s="20">
        <v>0.43387142857142902</v>
      </c>
      <c r="D55" s="15"/>
      <c r="E55" s="19" t="str">
        <f t="shared" si="6"/>
        <v>DSWR [B24,L05-24]</v>
      </c>
      <c r="F55" s="21">
        <f t="shared" si="4"/>
        <v>42.926723671393013</v>
      </c>
      <c r="G55" s="21">
        <f t="shared" si="5"/>
        <v>30.975992101739099</v>
      </c>
    </row>
    <row r="56" spans="1:7" x14ac:dyDescent="0.25">
      <c r="A56" s="6">
        <v>31</v>
      </c>
      <c r="B56" s="16">
        <v>0.77588000000000013</v>
      </c>
      <c r="C56" s="16">
        <v>0.13751142857142856</v>
      </c>
      <c r="E56" s="6">
        <f t="shared" ref="E56:E81" si="7">A56</f>
        <v>31</v>
      </c>
      <c r="F56" s="12">
        <f t="shared" ref="F56:F81" si="8">B56/12.0107*1000</f>
        <v>64.599065832965607</v>
      </c>
      <c r="G56" s="12">
        <f t="shared" ref="G56:G81" si="9">C56/14.0067*1000</f>
        <v>9.8175465007052747</v>
      </c>
    </row>
    <row r="57" spans="1:7" x14ac:dyDescent="0.25">
      <c r="A57" s="6">
        <v>32</v>
      </c>
      <c r="B57" s="16">
        <v>0.74158000000000013</v>
      </c>
      <c r="C57" s="16">
        <v>0.11731142857142857</v>
      </c>
      <c r="E57" s="6">
        <f t="shared" si="7"/>
        <v>32</v>
      </c>
      <c r="F57" s="12">
        <f t="shared" si="8"/>
        <v>61.743278909638917</v>
      </c>
      <c r="G57" s="12">
        <f t="shared" si="9"/>
        <v>8.3753795377518294</v>
      </c>
    </row>
    <row r="58" spans="1:7" x14ac:dyDescent="0.25">
      <c r="A58" s="6">
        <v>33</v>
      </c>
      <c r="B58" s="16">
        <v>0.78148000000000006</v>
      </c>
      <c r="C58" s="16">
        <v>0.12071142857142857</v>
      </c>
      <c r="E58" s="6">
        <f t="shared" si="7"/>
        <v>33</v>
      </c>
      <c r="F58" s="12">
        <f t="shared" si="8"/>
        <v>65.065316759223023</v>
      </c>
      <c r="G58" s="12">
        <f t="shared" si="9"/>
        <v>8.6181205117142898</v>
      </c>
    </row>
    <row r="59" spans="1:7" x14ac:dyDescent="0.25">
      <c r="A59" s="6">
        <v>34</v>
      </c>
      <c r="B59" s="16">
        <v>0.71988000000000008</v>
      </c>
      <c r="C59" s="16">
        <v>0.12953142857142858</v>
      </c>
      <c r="E59" s="6">
        <f t="shared" si="7"/>
        <v>34</v>
      </c>
      <c r="F59" s="12">
        <f t="shared" si="8"/>
        <v>59.93655657039141</v>
      </c>
      <c r="G59" s="12">
        <f t="shared" si="9"/>
        <v>9.2478191559345575</v>
      </c>
    </row>
    <row r="60" spans="1:7" x14ac:dyDescent="0.25">
      <c r="A60" s="6">
        <v>35</v>
      </c>
      <c r="B60" s="16">
        <v>0.75718000000000008</v>
      </c>
      <c r="C60" s="16">
        <v>0.12194142857142858</v>
      </c>
      <c r="E60" s="6">
        <f t="shared" si="7"/>
        <v>35</v>
      </c>
      <c r="F60" s="12">
        <f t="shared" si="8"/>
        <v>63.042120775641727</v>
      </c>
      <c r="G60" s="12">
        <f t="shared" si="9"/>
        <v>8.7059356287654186</v>
      </c>
    </row>
    <row r="61" spans="1:7" x14ac:dyDescent="0.25">
      <c r="A61" s="6">
        <v>36</v>
      </c>
      <c r="B61" s="16">
        <v>0.86518000000000006</v>
      </c>
      <c r="C61" s="16">
        <v>0.15466142857142856</v>
      </c>
      <c r="E61" s="6">
        <f t="shared" si="7"/>
        <v>36</v>
      </c>
      <c r="F61" s="12">
        <f t="shared" si="8"/>
        <v>72.034102924891968</v>
      </c>
      <c r="G61" s="12">
        <f t="shared" si="9"/>
        <v>11.041960531133569</v>
      </c>
    </row>
    <row r="62" spans="1:7" x14ac:dyDescent="0.25">
      <c r="A62" s="6">
        <v>37</v>
      </c>
      <c r="B62" s="16">
        <v>0.47198000000000007</v>
      </c>
      <c r="C62" s="16">
        <v>9.9391428571428575E-2</v>
      </c>
      <c r="E62" s="6">
        <f t="shared" si="7"/>
        <v>37</v>
      </c>
      <c r="F62" s="12">
        <f t="shared" si="8"/>
        <v>39.296627174103094</v>
      </c>
      <c r="G62" s="12">
        <f t="shared" si="9"/>
        <v>7.0959918161614493</v>
      </c>
    </row>
    <row r="63" spans="1:7" x14ac:dyDescent="0.25">
      <c r="A63" s="6">
        <v>38</v>
      </c>
      <c r="B63" s="16">
        <v>0.79458000000000006</v>
      </c>
      <c r="C63" s="16">
        <v>0.15372142857142856</v>
      </c>
      <c r="E63" s="6">
        <f t="shared" si="7"/>
        <v>38</v>
      </c>
      <c r="F63" s="12">
        <f t="shared" si="8"/>
        <v>66.156010890289494</v>
      </c>
      <c r="G63" s="12">
        <f t="shared" si="9"/>
        <v>10.974849791273359</v>
      </c>
    </row>
    <row r="64" spans="1:7" x14ac:dyDescent="0.25">
      <c r="A64" s="6">
        <v>39</v>
      </c>
      <c r="B64" s="16">
        <v>0.81888000000000005</v>
      </c>
      <c r="C64" s="16">
        <v>0.15066142857142856</v>
      </c>
      <c r="E64" s="6">
        <f t="shared" si="7"/>
        <v>39</v>
      </c>
      <c r="F64" s="12">
        <f t="shared" si="8"/>
        <v>68.179206873870797</v>
      </c>
      <c r="G64" s="12">
        <f t="shared" si="9"/>
        <v>10.756382914707144</v>
      </c>
    </row>
    <row r="65" spans="1:7" x14ac:dyDescent="0.25">
      <c r="A65" s="6">
        <v>40</v>
      </c>
      <c r="B65" s="16">
        <v>0.83338000000000012</v>
      </c>
      <c r="C65" s="16">
        <v>0.13440142857142856</v>
      </c>
      <c r="E65" s="6">
        <f t="shared" si="7"/>
        <v>40</v>
      </c>
      <c r="F65" s="12">
        <f t="shared" si="8"/>
        <v>69.386463736501639</v>
      </c>
      <c r="G65" s="12">
        <f t="shared" si="9"/>
        <v>9.5955099039337277</v>
      </c>
    </row>
    <row r="66" spans="1:7" x14ac:dyDescent="0.25">
      <c r="A66" s="22" t="s">
        <v>28</v>
      </c>
      <c r="B66" s="20">
        <v>-8.0800000000000004E-3</v>
      </c>
      <c r="C66" s="20">
        <v>0</v>
      </c>
      <c r="E66" s="19" t="str">
        <f t="shared" si="7"/>
        <v>DIW</v>
      </c>
      <c r="F66" s="21">
        <f t="shared" si="8"/>
        <v>-0.67273347931427818</v>
      </c>
      <c r="G66" s="21">
        <f t="shared" si="9"/>
        <v>0</v>
      </c>
    </row>
    <row r="67" spans="1:7" x14ac:dyDescent="0.25">
      <c r="A67" s="22" t="s">
        <v>27</v>
      </c>
      <c r="B67" s="20">
        <v>0.86909999999999998</v>
      </c>
      <c r="C67" s="20">
        <v>5.2670000000000002E-2</v>
      </c>
      <c r="E67" s="19" t="str">
        <f t="shared" si="7"/>
        <v>LNSW</v>
      </c>
      <c r="F67" s="21">
        <f t="shared" si="8"/>
        <v>72.360478573272161</v>
      </c>
      <c r="G67" s="21">
        <f t="shared" si="9"/>
        <v>3.7603432642949448</v>
      </c>
    </row>
    <row r="68" spans="1:7" x14ac:dyDescent="0.25">
      <c r="A68" s="22" t="s">
        <v>31</v>
      </c>
      <c r="B68" s="20">
        <v>0.51218000000000008</v>
      </c>
      <c r="C68" s="20">
        <v>0.44657142857142856</v>
      </c>
      <c r="E68" s="19" t="str">
        <f t="shared" si="7"/>
        <v>DSWR [B24,L05-24]</v>
      </c>
      <c r="F68" s="21">
        <f t="shared" si="8"/>
        <v>42.643642751879582</v>
      </c>
      <c r="G68" s="21">
        <f t="shared" si="9"/>
        <v>31.882701033892964</v>
      </c>
    </row>
    <row r="69" spans="1:7" x14ac:dyDescent="0.25">
      <c r="A69" s="6">
        <v>41</v>
      </c>
      <c r="B69" s="16">
        <v>0.78928000000000009</v>
      </c>
      <c r="C69" s="16">
        <v>0.13272142857142857</v>
      </c>
      <c r="E69" s="6">
        <f t="shared" si="7"/>
        <v>41</v>
      </c>
      <c r="F69" s="12">
        <f t="shared" si="8"/>
        <v>65.714737692224446</v>
      </c>
      <c r="G69" s="12">
        <f t="shared" si="9"/>
        <v>9.4755673050346321</v>
      </c>
    </row>
    <row r="70" spans="1:7" x14ac:dyDescent="0.25">
      <c r="A70" s="6">
        <v>42</v>
      </c>
      <c r="B70" s="16">
        <v>0.85408000000000006</v>
      </c>
      <c r="C70" s="16">
        <v>0.12574142857142856</v>
      </c>
      <c r="E70" s="6">
        <f t="shared" si="7"/>
        <v>42</v>
      </c>
      <c r="F70" s="12">
        <f t="shared" si="8"/>
        <v>71.109926981774592</v>
      </c>
      <c r="G70" s="12">
        <f t="shared" si="9"/>
        <v>8.9772343643705188</v>
      </c>
    </row>
    <row r="71" spans="1:7" x14ac:dyDescent="0.25">
      <c r="A71" s="6">
        <v>43</v>
      </c>
      <c r="B71" s="16">
        <v>0.79538000000000009</v>
      </c>
      <c r="C71" s="16">
        <v>0.12326142857142858</v>
      </c>
      <c r="E71" s="6">
        <f t="shared" si="7"/>
        <v>43</v>
      </c>
      <c r="F71" s="12">
        <f t="shared" si="8"/>
        <v>66.222618165469129</v>
      </c>
      <c r="G71" s="12">
        <f t="shared" si="9"/>
        <v>8.8001762421861365</v>
      </c>
    </row>
    <row r="72" spans="1:7" x14ac:dyDescent="0.25">
      <c r="A72" s="6">
        <v>44</v>
      </c>
      <c r="B72" s="16">
        <v>0.85228000000000004</v>
      </c>
      <c r="C72" s="16">
        <v>0.13263142857142857</v>
      </c>
      <c r="E72" s="6">
        <f t="shared" si="7"/>
        <v>44</v>
      </c>
      <c r="F72" s="12">
        <f t="shared" si="8"/>
        <v>70.960060612620424</v>
      </c>
      <c r="G72" s="12">
        <f t="shared" si="9"/>
        <v>9.4691418086650359</v>
      </c>
    </row>
    <row r="73" spans="1:7" x14ac:dyDescent="0.25">
      <c r="A73" s="6">
        <v>45</v>
      </c>
      <c r="B73" s="16">
        <v>0.78928000000000009</v>
      </c>
      <c r="C73" s="16">
        <v>0.12190142857142858</v>
      </c>
      <c r="E73" s="6">
        <f t="shared" si="7"/>
        <v>45</v>
      </c>
      <c r="F73" s="12">
        <f t="shared" si="8"/>
        <v>65.714737692224446</v>
      </c>
      <c r="G73" s="12">
        <f t="shared" si="9"/>
        <v>8.703079852601153</v>
      </c>
    </row>
    <row r="74" spans="1:7" x14ac:dyDescent="0.25">
      <c r="A74" s="6">
        <v>46</v>
      </c>
      <c r="B74" s="16">
        <v>0.77428000000000008</v>
      </c>
      <c r="C74" s="16">
        <v>0.13285142857142856</v>
      </c>
      <c r="E74" s="6">
        <f t="shared" si="7"/>
        <v>46</v>
      </c>
      <c r="F74" s="12">
        <f t="shared" si="8"/>
        <v>64.465851282606351</v>
      </c>
      <c r="G74" s="12">
        <f t="shared" si="9"/>
        <v>9.4848485775684903</v>
      </c>
    </row>
    <row r="75" spans="1:7" x14ac:dyDescent="0.25">
      <c r="A75" s="6">
        <v>47</v>
      </c>
      <c r="B75" s="16">
        <v>0.79168000000000005</v>
      </c>
      <c r="C75" s="16">
        <v>0.12343142857142857</v>
      </c>
      <c r="E75" s="6">
        <f t="shared" si="7"/>
        <v>47</v>
      </c>
      <c r="F75" s="12">
        <f t="shared" si="8"/>
        <v>65.914559517763337</v>
      </c>
      <c r="G75" s="12">
        <f t="shared" si="9"/>
        <v>8.8123132908842603</v>
      </c>
    </row>
    <row r="76" spans="1:7" x14ac:dyDescent="0.25">
      <c r="A76" s="6">
        <v>48</v>
      </c>
      <c r="B76" s="16">
        <v>0.68158000000000007</v>
      </c>
      <c r="C76" s="16">
        <v>0.12779142857142856</v>
      </c>
      <c r="E76" s="6">
        <f t="shared" si="7"/>
        <v>48</v>
      </c>
      <c r="F76" s="12">
        <f t="shared" si="8"/>
        <v>56.747733271166553</v>
      </c>
      <c r="G76" s="12">
        <f t="shared" si="9"/>
        <v>9.1235928927890608</v>
      </c>
    </row>
    <row r="77" spans="1:7" x14ac:dyDescent="0.25">
      <c r="A77" s="6">
        <v>49</v>
      </c>
      <c r="B77" s="16">
        <v>0.78748000000000007</v>
      </c>
      <c r="C77" s="16">
        <v>0.13233142857142857</v>
      </c>
      <c r="E77" s="6">
        <f t="shared" si="7"/>
        <v>49</v>
      </c>
      <c r="F77" s="12">
        <f t="shared" si="8"/>
        <v>65.564871323070264</v>
      </c>
      <c r="G77" s="12">
        <f t="shared" si="9"/>
        <v>9.4477234874330556</v>
      </c>
    </row>
    <row r="78" spans="1:7" x14ac:dyDescent="0.25">
      <c r="A78" s="6">
        <v>50</v>
      </c>
      <c r="B78" s="16">
        <v>0.72608000000000006</v>
      </c>
      <c r="C78" s="16">
        <v>0.11459142857142857</v>
      </c>
      <c r="E78" s="6">
        <f t="shared" si="7"/>
        <v>50</v>
      </c>
      <c r="F78" s="12">
        <f t="shared" si="8"/>
        <v>60.452762953033549</v>
      </c>
      <c r="G78" s="12">
        <f t="shared" si="9"/>
        <v>8.1811867585818625</v>
      </c>
    </row>
    <row r="79" spans="1:7" x14ac:dyDescent="0.25">
      <c r="A79" s="22" t="s">
        <v>28</v>
      </c>
      <c r="B79" s="20">
        <v>-9.4500000000000001E-3</v>
      </c>
      <c r="C79" s="20">
        <v>0</v>
      </c>
      <c r="E79" s="19" t="str">
        <f t="shared" si="7"/>
        <v>DIW</v>
      </c>
      <c r="F79" s="21">
        <f t="shared" si="8"/>
        <v>-0.78679843805939709</v>
      </c>
      <c r="G79" s="21">
        <f t="shared" si="9"/>
        <v>0</v>
      </c>
    </row>
    <row r="80" spans="1:7" x14ac:dyDescent="0.25">
      <c r="A80" s="22" t="s">
        <v>27</v>
      </c>
      <c r="B80" s="20">
        <v>0.8518</v>
      </c>
      <c r="C80" s="20">
        <v>5.4030000000000002E-2</v>
      </c>
      <c r="E80" s="19" t="str">
        <f t="shared" si="7"/>
        <v>LNSW</v>
      </c>
      <c r="F80" s="21">
        <f t="shared" si="8"/>
        <v>70.920096247512632</v>
      </c>
      <c r="G80" s="21">
        <f t="shared" si="9"/>
        <v>3.8574396538799287</v>
      </c>
    </row>
    <row r="81" spans="1:7" x14ac:dyDescent="0.25">
      <c r="A81" s="22" t="s">
        <v>31</v>
      </c>
      <c r="B81" s="20">
        <v>0.51097999999999999</v>
      </c>
      <c r="C81" s="20">
        <v>0.43757142857142856</v>
      </c>
      <c r="E81" s="19" t="str">
        <f t="shared" si="7"/>
        <v>DSWR [B24,L05-24]</v>
      </c>
      <c r="F81" s="21">
        <f t="shared" si="8"/>
        <v>42.543731839110123</v>
      </c>
      <c r="G81" s="21">
        <f t="shared" si="9"/>
        <v>31.240151396933509</v>
      </c>
    </row>
    <row r="82" spans="1:7" x14ac:dyDescent="0.25">
      <c r="A82" s="6">
        <v>51</v>
      </c>
      <c r="B82" s="16">
        <v>0.80518000000000012</v>
      </c>
      <c r="C82" s="16">
        <v>0.13281142857142858</v>
      </c>
      <c r="E82" s="35">
        <f t="shared" ref="E82:E94" si="10">A82</f>
        <v>51</v>
      </c>
      <c r="F82" s="36">
        <f t="shared" ref="F82:F94" si="11">B82/12.0107*1000</f>
        <v>67.038557286419618</v>
      </c>
      <c r="G82" s="36">
        <f t="shared" ref="G82:G94" si="12">C82/14.0067*1000</f>
        <v>9.4819928014042265</v>
      </c>
    </row>
    <row r="83" spans="1:7" x14ac:dyDescent="0.25">
      <c r="A83" s="6">
        <v>52</v>
      </c>
      <c r="B83" s="16">
        <v>0.81448000000000009</v>
      </c>
      <c r="C83" s="16">
        <v>0.13020142857142858</v>
      </c>
      <c r="E83" s="35">
        <f t="shared" si="10"/>
        <v>52</v>
      </c>
      <c r="F83" s="36">
        <f t="shared" si="11"/>
        <v>67.81286686038284</v>
      </c>
      <c r="G83" s="36">
        <f t="shared" si="12"/>
        <v>9.2956534066859842</v>
      </c>
    </row>
    <row r="84" spans="1:7" x14ac:dyDescent="0.25">
      <c r="A84" s="6">
        <v>53</v>
      </c>
      <c r="B84" s="16">
        <v>0.74768000000000012</v>
      </c>
      <c r="C84" s="16">
        <v>0.11795142857142857</v>
      </c>
      <c r="E84" s="35">
        <f t="shared" si="10"/>
        <v>53</v>
      </c>
      <c r="F84" s="36">
        <f t="shared" si="11"/>
        <v>62.251159382883607</v>
      </c>
      <c r="G84" s="36">
        <f t="shared" si="12"/>
        <v>8.4210719563800591</v>
      </c>
    </row>
    <row r="85" spans="1:7" x14ac:dyDescent="0.25">
      <c r="A85" s="6">
        <v>54</v>
      </c>
      <c r="B85" s="16">
        <v>0.64748000000000006</v>
      </c>
      <c r="C85" s="16">
        <v>0.11863142857142858</v>
      </c>
      <c r="E85" s="35">
        <f t="shared" si="10"/>
        <v>54</v>
      </c>
      <c r="F85" s="36">
        <f t="shared" si="11"/>
        <v>53.908598166634754</v>
      </c>
      <c r="G85" s="36">
        <f t="shared" si="12"/>
        <v>8.4696201511725508</v>
      </c>
    </row>
    <row r="86" spans="1:7" x14ac:dyDescent="0.25">
      <c r="A86" s="6">
        <v>55</v>
      </c>
      <c r="B86" s="16">
        <v>0.42828000000000011</v>
      </c>
      <c r="C86" s="16">
        <v>9.6961428571428573E-2</v>
      </c>
      <c r="E86" s="35">
        <f t="shared" si="10"/>
        <v>55</v>
      </c>
      <c r="F86" s="36">
        <f t="shared" si="11"/>
        <v>35.658204767415725</v>
      </c>
      <c r="G86" s="36">
        <f t="shared" si="12"/>
        <v>6.9225034141823967</v>
      </c>
    </row>
    <row r="87" spans="1:7" x14ac:dyDescent="0.25">
      <c r="A87" s="6">
        <v>56</v>
      </c>
      <c r="B87" s="16">
        <v>0.77778000000000003</v>
      </c>
      <c r="C87" s="16">
        <v>0.12604142857142858</v>
      </c>
      <c r="E87" s="35">
        <f t="shared" si="10"/>
        <v>56</v>
      </c>
      <c r="F87" s="36">
        <f t="shared" si="11"/>
        <v>64.757258111517231</v>
      </c>
      <c r="G87" s="36">
        <f t="shared" si="12"/>
        <v>8.9986526856025026</v>
      </c>
    </row>
    <row r="88" spans="1:7" x14ac:dyDescent="0.25">
      <c r="A88" s="6">
        <v>57</v>
      </c>
      <c r="B88" s="16">
        <v>0.84688000000000008</v>
      </c>
      <c r="C88" s="16">
        <v>0.13738142857142857</v>
      </c>
      <c r="E88" s="35">
        <f t="shared" si="10"/>
        <v>57</v>
      </c>
      <c r="F88" s="36">
        <f t="shared" si="11"/>
        <v>70.510461505157906</v>
      </c>
      <c r="G88" s="36">
        <f t="shared" si="12"/>
        <v>9.8082652281714164</v>
      </c>
    </row>
    <row r="89" spans="1:7" x14ac:dyDescent="0.25">
      <c r="A89" s="6">
        <v>58</v>
      </c>
      <c r="B89" s="16">
        <v>0.80388000000000004</v>
      </c>
      <c r="C89" s="16">
        <v>0.13578142857142855</v>
      </c>
      <c r="E89" s="35">
        <f t="shared" si="10"/>
        <v>58</v>
      </c>
      <c r="F89" s="36">
        <f t="shared" si="11"/>
        <v>66.930320464252702</v>
      </c>
      <c r="G89" s="36">
        <f t="shared" si="12"/>
        <v>9.6940341816008448</v>
      </c>
    </row>
    <row r="90" spans="1:7" x14ac:dyDescent="0.25">
      <c r="A90" s="6">
        <v>59</v>
      </c>
      <c r="B90" s="16">
        <v>0.82128000000000012</v>
      </c>
      <c r="C90" s="16">
        <v>0.12740142857142855</v>
      </c>
      <c r="E90" s="35">
        <f t="shared" si="10"/>
        <v>59</v>
      </c>
      <c r="F90" s="36">
        <f t="shared" si="11"/>
        <v>68.379028699409702</v>
      </c>
      <c r="G90" s="36">
        <f t="shared" si="12"/>
        <v>9.0957490751874843</v>
      </c>
    </row>
    <row r="91" spans="1:7" x14ac:dyDescent="0.25">
      <c r="A91" s="6">
        <v>60</v>
      </c>
      <c r="B91" s="16">
        <v>0.70068000000000008</v>
      </c>
      <c r="C91" s="16">
        <v>0.11999142857142857</v>
      </c>
      <c r="E91" s="35">
        <f t="shared" si="10"/>
        <v>60</v>
      </c>
      <c r="F91" s="36">
        <f t="shared" si="11"/>
        <v>58.337981966080257</v>
      </c>
      <c r="G91" s="36">
        <f t="shared" si="12"/>
        <v>8.5667165407575343</v>
      </c>
    </row>
    <row r="92" spans="1:7" x14ac:dyDescent="0.25">
      <c r="A92" s="22" t="s">
        <v>28</v>
      </c>
      <c r="B92" s="20">
        <v>-1.704E-2</v>
      </c>
      <c r="C92" s="20">
        <v>0</v>
      </c>
      <c r="E92" s="19" t="str">
        <f t="shared" si="10"/>
        <v>DIW</v>
      </c>
      <c r="F92" s="21">
        <f t="shared" si="11"/>
        <v>-1.4187349613261508</v>
      </c>
      <c r="G92" s="21">
        <f t="shared" si="12"/>
        <v>0</v>
      </c>
    </row>
    <row r="93" spans="1:7" x14ac:dyDescent="0.25">
      <c r="A93" s="22" t="s">
        <v>27</v>
      </c>
      <c r="B93" s="20">
        <v>0.88380000000000003</v>
      </c>
      <c r="C93" s="20">
        <v>6.1940000000000002E-2</v>
      </c>
      <c r="E93" s="19" t="str">
        <f t="shared" si="10"/>
        <v>LNSW</v>
      </c>
      <c r="F93" s="21">
        <f t="shared" si="11"/>
        <v>73.584387254697901</v>
      </c>
      <c r="G93" s="21">
        <f t="shared" si="12"/>
        <v>4.4221693903631838</v>
      </c>
    </row>
    <row r="94" spans="1:7" x14ac:dyDescent="0.25">
      <c r="A94" s="22" t="s">
        <v>31</v>
      </c>
      <c r="B94" s="20">
        <v>0.51097999999999999</v>
      </c>
      <c r="C94" s="20">
        <v>0.43757142857142856</v>
      </c>
      <c r="E94" s="19" t="str">
        <f t="shared" si="10"/>
        <v>DSWR [B24,L05-24]</v>
      </c>
      <c r="F94" s="21">
        <f t="shared" si="11"/>
        <v>42.543731839110123</v>
      </c>
      <c r="G94" s="21">
        <f t="shared" si="12"/>
        <v>31.240151396933509</v>
      </c>
    </row>
  </sheetData>
  <mergeCells count="3">
    <mergeCell ref="D1:G2"/>
    <mergeCell ref="D3:G3"/>
    <mergeCell ref="D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8312-0FE3-49B0-9392-E58E2AE5FE9D}">
  <dimension ref="A1:G33"/>
  <sheetViews>
    <sheetView zoomScaleNormal="100" workbookViewId="0">
      <selection activeCell="F20" sqref="F20"/>
    </sheetView>
  </sheetViews>
  <sheetFormatPr defaultRowHeight="15" x14ac:dyDescent="0.25"/>
  <cols>
    <col min="1" max="1" width="47.28515625" bestFit="1" customWidth="1"/>
    <col min="2" max="2" width="37.140625" bestFit="1" customWidth="1"/>
    <col min="3" max="3" width="14.5703125" customWidth="1"/>
    <col min="5" max="5" width="42.140625" bestFit="1" customWidth="1"/>
    <col min="6" max="6" width="15.5703125" customWidth="1"/>
    <col min="7" max="7" width="14" customWidth="1"/>
  </cols>
  <sheetData>
    <row r="1" spans="1:7" x14ac:dyDescent="0.25">
      <c r="A1" s="1" t="s">
        <v>0</v>
      </c>
      <c r="B1" s="2" t="s">
        <v>1</v>
      </c>
      <c r="D1" s="23" t="s">
        <v>2</v>
      </c>
      <c r="E1" s="24"/>
      <c r="F1" s="24"/>
      <c r="G1" s="25"/>
    </row>
    <row r="2" spans="1:7" ht="15.75" thickBot="1" x14ac:dyDescent="0.3">
      <c r="A2" s="1" t="s">
        <v>3</v>
      </c>
      <c r="B2" s="2">
        <v>1</v>
      </c>
      <c r="D2" s="26"/>
      <c r="E2" s="27"/>
      <c r="F2" s="27"/>
      <c r="G2" s="28"/>
    </row>
    <row r="3" spans="1:7" x14ac:dyDescent="0.25">
      <c r="A3" s="1" t="s">
        <v>4</v>
      </c>
      <c r="B3" s="14" t="s">
        <v>17</v>
      </c>
      <c r="D3" s="29" t="s">
        <v>29</v>
      </c>
      <c r="E3" s="30"/>
      <c r="F3" s="30"/>
      <c r="G3" s="31"/>
    </row>
    <row r="4" spans="1:7" ht="15.75" thickBot="1" x14ac:dyDescent="0.3">
      <c r="A4" s="1" t="s">
        <v>5</v>
      </c>
      <c r="B4" s="17">
        <v>45639</v>
      </c>
      <c r="C4" s="3"/>
      <c r="D4" s="32" t="s">
        <v>30</v>
      </c>
      <c r="E4" s="33"/>
      <c r="F4" s="33"/>
      <c r="G4" s="34"/>
    </row>
    <row r="5" spans="1:7" x14ac:dyDescent="0.25">
      <c r="A5" s="1" t="s">
        <v>6</v>
      </c>
      <c r="B5" s="18" t="s">
        <v>34</v>
      </c>
    </row>
    <row r="7" spans="1:7" ht="15" customHeight="1" x14ac:dyDescent="0.25"/>
    <row r="9" spans="1:7" x14ac:dyDescent="0.25">
      <c r="A9" s="4" t="s">
        <v>7</v>
      </c>
    </row>
    <row r="10" spans="1:7" x14ac:dyDescent="0.25">
      <c r="A10" s="5" t="s">
        <v>8</v>
      </c>
      <c r="B10" s="6" t="s">
        <v>9</v>
      </c>
    </row>
    <row r="11" spans="1:7" x14ac:dyDescent="0.25">
      <c r="A11" s="7"/>
      <c r="B11" s="10"/>
    </row>
    <row r="12" spans="1:7" x14ac:dyDescent="0.25">
      <c r="A12" t="s">
        <v>10</v>
      </c>
      <c r="E12" t="s">
        <v>11</v>
      </c>
    </row>
    <row r="13" spans="1:7" x14ac:dyDescent="0.25">
      <c r="A13" s="1" t="s">
        <v>12</v>
      </c>
      <c r="B13" s="1" t="s">
        <v>13</v>
      </c>
      <c r="C13" s="1" t="s">
        <v>14</v>
      </c>
      <c r="E13" s="1" t="s">
        <v>12</v>
      </c>
      <c r="F13" s="1" t="s">
        <v>15</v>
      </c>
      <c r="G13" s="1" t="s">
        <v>16</v>
      </c>
    </row>
    <row r="14" spans="1:7" x14ac:dyDescent="0.25">
      <c r="A14" s="19" t="s">
        <v>28</v>
      </c>
      <c r="B14" s="20">
        <v>-4.8999999999999998E-4</v>
      </c>
      <c r="C14" s="20">
        <v>0</v>
      </c>
      <c r="E14" s="19" t="str">
        <f>A14</f>
        <v>DIW</v>
      </c>
      <c r="F14" s="21">
        <f>B14/12.0107*1000</f>
        <v>-4.0796956047524292E-2</v>
      </c>
      <c r="G14" s="21">
        <f>C14/14.0067*1000</f>
        <v>0</v>
      </c>
    </row>
    <row r="15" spans="1:7" x14ac:dyDescent="0.25">
      <c r="A15" s="19" t="s">
        <v>27</v>
      </c>
      <c r="B15" s="20">
        <v>0.89510000000000001</v>
      </c>
      <c r="C15" s="20">
        <v>6.0179999999999997E-2</v>
      </c>
      <c r="E15" s="19" t="str">
        <f>A15</f>
        <v>LNSW</v>
      </c>
      <c r="F15" s="21">
        <f>B15/12.0107*1000</f>
        <v>74.52521501661019</v>
      </c>
      <c r="G15" s="21">
        <f>C15/14.0067*1000</f>
        <v>4.2965152391355561</v>
      </c>
    </row>
    <row r="16" spans="1:7" x14ac:dyDescent="0.25">
      <c r="A16" s="19" t="s">
        <v>31</v>
      </c>
      <c r="B16" s="20">
        <v>0.50678333333333303</v>
      </c>
      <c r="C16" s="20">
        <v>0.4414333333333334</v>
      </c>
      <c r="E16" s="19" t="str">
        <f>A16</f>
        <v>DSWR [B24,L05-24]</v>
      </c>
      <c r="F16" s="21">
        <f>B16/12.0107*1000</f>
        <v>42.194321174730284</v>
      </c>
      <c r="G16" s="21">
        <f>C16/14.0067*1000</f>
        <v>31.515869786126167</v>
      </c>
    </row>
    <row r="17" spans="1:7" x14ac:dyDescent="0.25">
      <c r="A17" s="6">
        <v>61</v>
      </c>
      <c r="B17" s="16">
        <v>0.81768333333333332</v>
      </c>
      <c r="C17" s="16">
        <v>0.14613333333333339</v>
      </c>
      <c r="D17" s="15"/>
      <c r="E17" s="6">
        <f>A17</f>
        <v>61</v>
      </c>
      <c r="F17" s="12">
        <f>B17/12.0107*1000</f>
        <v>68.079573491414592</v>
      </c>
      <c r="G17" s="12">
        <f>C17/14.0067*1000</f>
        <v>10.433102253445378</v>
      </c>
    </row>
    <row r="18" spans="1:7" x14ac:dyDescent="0.25">
      <c r="A18" s="6">
        <v>62</v>
      </c>
      <c r="B18" s="16">
        <v>0.75878333333333325</v>
      </c>
      <c r="C18" s="16">
        <v>0.12892333333333339</v>
      </c>
      <c r="D18" s="15"/>
      <c r="E18" s="6">
        <f t="shared" ref="E18:E30" si="0">A18</f>
        <v>62</v>
      </c>
      <c r="F18" s="12">
        <f t="shared" ref="F18:F33" si="1">B18/12.0107*1000</f>
        <v>63.175612856314217</v>
      </c>
      <c r="G18" s="12">
        <f t="shared" ref="G18:G33" si="2">C18/14.0067*1000</f>
        <v>9.2044045587706869</v>
      </c>
    </row>
    <row r="19" spans="1:7" x14ac:dyDescent="0.25">
      <c r="A19" s="6">
        <v>63</v>
      </c>
      <c r="B19" s="16">
        <v>0.53538333333333332</v>
      </c>
      <c r="C19" s="16">
        <v>0.12426333333333339</v>
      </c>
      <c r="D19" s="15"/>
      <c r="E19" s="6">
        <f t="shared" si="0"/>
        <v>63</v>
      </c>
      <c r="F19" s="12">
        <f t="shared" si="1"/>
        <v>44.575531262402137</v>
      </c>
      <c r="G19" s="12">
        <f t="shared" si="2"/>
        <v>8.8717066356339025</v>
      </c>
    </row>
    <row r="20" spans="1:7" x14ac:dyDescent="0.25">
      <c r="A20" s="6">
        <v>64</v>
      </c>
      <c r="B20" s="16">
        <v>0.3349833333333333</v>
      </c>
      <c r="C20" s="16">
        <v>0.10943333333333338</v>
      </c>
      <c r="D20" s="15"/>
      <c r="E20" s="6">
        <f t="shared" si="0"/>
        <v>64</v>
      </c>
      <c r="F20" s="12">
        <f t="shared" si="1"/>
        <v>27.890408829904441</v>
      </c>
      <c r="G20" s="12">
        <f t="shared" si="2"/>
        <v>7.8129276227329338</v>
      </c>
    </row>
    <row r="21" spans="1:7" x14ac:dyDescent="0.25">
      <c r="A21" s="6">
        <v>65</v>
      </c>
      <c r="B21" s="16">
        <v>0.81898333333333329</v>
      </c>
      <c r="C21" s="16">
        <v>0.14113333333333339</v>
      </c>
      <c r="D21" s="15"/>
      <c r="E21" s="6">
        <f t="shared" si="0"/>
        <v>65</v>
      </c>
      <c r="F21" s="12">
        <f t="shared" si="1"/>
        <v>68.187810313581494</v>
      </c>
      <c r="G21" s="12">
        <f t="shared" si="2"/>
        <v>10.076130232912348</v>
      </c>
    </row>
    <row r="22" spans="1:7" x14ac:dyDescent="0.25">
      <c r="A22" s="6">
        <v>67</v>
      </c>
      <c r="B22" s="16">
        <v>0.76118333333333332</v>
      </c>
      <c r="C22" s="16">
        <v>0.13028333333333339</v>
      </c>
      <c r="D22" s="15"/>
      <c r="E22" s="6">
        <f t="shared" ref="E22" si="3">A22</f>
        <v>67</v>
      </c>
      <c r="F22" s="12">
        <f t="shared" ref="F22" si="4">B22/12.0107*1000</f>
        <v>63.375434681853122</v>
      </c>
      <c r="G22" s="12">
        <f t="shared" ref="G22" si="5">C22/14.0067*1000</f>
        <v>9.3015009483556721</v>
      </c>
    </row>
    <row r="23" spans="1:7" x14ac:dyDescent="0.25">
      <c r="A23" s="6">
        <v>68</v>
      </c>
      <c r="B23" s="16">
        <v>0.78948333333333331</v>
      </c>
      <c r="C23" s="16">
        <v>0.13574333333333338</v>
      </c>
      <c r="D23" s="15"/>
      <c r="E23" s="6">
        <f t="shared" si="0"/>
        <v>68</v>
      </c>
      <c r="F23" s="12">
        <f t="shared" si="1"/>
        <v>65.731667041332585</v>
      </c>
      <c r="G23" s="12">
        <f t="shared" si="2"/>
        <v>9.6913143947777414</v>
      </c>
    </row>
    <row r="24" spans="1:7" x14ac:dyDescent="0.25">
      <c r="A24" s="19" t="s">
        <v>28</v>
      </c>
      <c r="B24" s="20">
        <v>-8.7399999999999995E-3</v>
      </c>
      <c r="C24" s="20">
        <v>0</v>
      </c>
      <c r="E24" s="19" t="str">
        <f t="shared" si="0"/>
        <v>DIW</v>
      </c>
      <c r="F24" s="21">
        <f t="shared" si="1"/>
        <v>-0.72768448133747399</v>
      </c>
      <c r="G24" s="21">
        <f t="shared" si="2"/>
        <v>0</v>
      </c>
    </row>
    <row r="25" spans="1:7" x14ac:dyDescent="0.25">
      <c r="A25" s="19" t="s">
        <v>27</v>
      </c>
      <c r="B25" s="20">
        <v>0.87370000000000003</v>
      </c>
      <c r="C25" s="20">
        <v>5.459E-2</v>
      </c>
      <c r="E25" s="19" t="str">
        <f t="shared" si="0"/>
        <v>LNSW</v>
      </c>
      <c r="F25" s="21">
        <f t="shared" si="1"/>
        <v>72.743470405555058</v>
      </c>
      <c r="G25" s="21">
        <f t="shared" si="2"/>
        <v>3.8974205201796281</v>
      </c>
    </row>
    <row r="26" spans="1:7" x14ac:dyDescent="0.25">
      <c r="A26" s="19" t="s">
        <v>31</v>
      </c>
      <c r="B26" s="20">
        <v>0.51298333333333324</v>
      </c>
      <c r="C26" s="20">
        <v>0.44323333333333337</v>
      </c>
      <c r="E26" s="19" t="str">
        <f t="shared" si="0"/>
        <v>DSWR [B24,L05-24]</v>
      </c>
      <c r="F26" s="21">
        <f t="shared" si="1"/>
        <v>42.710527557372444</v>
      </c>
      <c r="G26" s="21">
        <f t="shared" si="2"/>
        <v>31.644379713518056</v>
      </c>
    </row>
    <row r="27" spans="1:7" x14ac:dyDescent="0.25">
      <c r="A27" s="6">
        <v>70</v>
      </c>
      <c r="B27" s="16">
        <v>0.76678333333333326</v>
      </c>
      <c r="C27" s="16">
        <v>0.13294333333333339</v>
      </c>
      <c r="E27" s="6">
        <f t="shared" si="0"/>
        <v>70</v>
      </c>
      <c r="F27" s="12">
        <f t="shared" si="1"/>
        <v>63.841685608110545</v>
      </c>
      <c r="G27" s="12">
        <f t="shared" si="2"/>
        <v>9.4914100632792433</v>
      </c>
    </row>
    <row r="28" spans="1:7" x14ac:dyDescent="0.25">
      <c r="A28" s="6">
        <v>71</v>
      </c>
      <c r="B28" s="16">
        <v>0.82728333333333326</v>
      </c>
      <c r="C28" s="16">
        <v>0.14579333333333339</v>
      </c>
      <c r="E28" s="6">
        <f t="shared" si="0"/>
        <v>71</v>
      </c>
      <c r="F28" s="12">
        <f t="shared" si="1"/>
        <v>68.878860793570169</v>
      </c>
      <c r="G28" s="12">
        <f t="shared" si="2"/>
        <v>10.408828156049132</v>
      </c>
    </row>
    <row r="29" spans="1:7" x14ac:dyDescent="0.25">
      <c r="A29" s="6">
        <v>73</v>
      </c>
      <c r="B29" s="16">
        <v>0.77898333333333325</v>
      </c>
      <c r="C29" s="16">
        <v>0.14734333333333338</v>
      </c>
      <c r="E29" s="6">
        <f t="shared" si="0"/>
        <v>73</v>
      </c>
      <c r="F29" s="12">
        <f t="shared" si="1"/>
        <v>64.857446554599917</v>
      </c>
      <c r="G29" s="12">
        <f t="shared" si="2"/>
        <v>10.519489482414372</v>
      </c>
    </row>
    <row r="30" spans="1:7" x14ac:dyDescent="0.25">
      <c r="A30" s="6">
        <v>74</v>
      </c>
      <c r="B30" s="16">
        <v>1.8048833333333332</v>
      </c>
      <c r="C30" s="16">
        <v>2.9840333333333335</v>
      </c>
      <c r="E30" s="6">
        <f t="shared" si="0"/>
        <v>74</v>
      </c>
      <c r="F30" s="12">
        <f t="shared" si="1"/>
        <v>150.27295106307986</v>
      </c>
      <c r="G30" s="12">
        <f t="shared" si="2"/>
        <v>213.0432816675829</v>
      </c>
    </row>
    <row r="31" spans="1:7" x14ac:dyDescent="0.25">
      <c r="A31" s="19" t="s">
        <v>28</v>
      </c>
      <c r="B31" s="20">
        <v>-1E-3</v>
      </c>
      <c r="C31" s="20">
        <v>0</v>
      </c>
      <c r="E31" s="19" t="str">
        <f t="shared" ref="E31:E33" si="6">A31</f>
        <v>DIW</v>
      </c>
      <c r="F31" s="21">
        <f t="shared" si="1"/>
        <v>-8.3259093974539372E-2</v>
      </c>
      <c r="G31" s="21">
        <f t="shared" si="2"/>
        <v>0</v>
      </c>
    </row>
    <row r="32" spans="1:7" x14ac:dyDescent="0.25">
      <c r="A32" s="19" t="s">
        <v>27</v>
      </c>
      <c r="B32" s="20">
        <v>0.86339999999999995</v>
      </c>
      <c r="C32" s="20">
        <v>5.4199999999999998E-2</v>
      </c>
      <c r="D32" s="15"/>
      <c r="E32" s="19" t="str">
        <f t="shared" si="6"/>
        <v>LNSW</v>
      </c>
      <c r="F32" s="21">
        <f t="shared" si="1"/>
        <v>71.885901737617289</v>
      </c>
      <c r="G32" s="21">
        <f t="shared" si="2"/>
        <v>3.8695767025780516</v>
      </c>
    </row>
    <row r="33" spans="1:7" x14ac:dyDescent="0.25">
      <c r="A33" s="19" t="s">
        <v>31</v>
      </c>
      <c r="B33" s="20">
        <v>0.50998333333333323</v>
      </c>
      <c r="C33" s="20">
        <v>0.43803333333333339</v>
      </c>
      <c r="D33" s="15"/>
      <c r="E33" s="19" t="str">
        <f t="shared" si="6"/>
        <v>DSWR [B24,L05-24]</v>
      </c>
      <c r="F33" s="21">
        <f t="shared" si="1"/>
        <v>42.460750275448831</v>
      </c>
      <c r="G33" s="21">
        <f t="shared" si="2"/>
        <v>31.273128812163709</v>
      </c>
    </row>
  </sheetData>
  <mergeCells count="3">
    <mergeCell ref="D1:G2"/>
    <mergeCell ref="D3:G3"/>
    <mergeCell ref="D4:G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Results</vt:lpstr>
      <vt:lpstr>Run File 12.10.24</vt:lpstr>
      <vt:lpstr>Run File 12.13.24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SLAB</dc:creator>
  <cp:lastModifiedBy>Danielle Hull</cp:lastModifiedBy>
  <dcterms:created xsi:type="dcterms:W3CDTF">2020-10-19T22:59:09Z</dcterms:created>
  <dcterms:modified xsi:type="dcterms:W3CDTF">2025-01-03T21:26:26Z</dcterms:modified>
</cp:coreProperties>
</file>