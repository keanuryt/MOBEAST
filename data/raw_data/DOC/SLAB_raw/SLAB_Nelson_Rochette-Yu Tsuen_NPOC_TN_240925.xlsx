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b12d45ca624262/SLAB/Analyses Completed/Nelson/"/>
    </mc:Choice>
  </mc:AlternateContent>
  <xr:revisionPtr revIDLastSave="334" documentId="8_{FF868B27-66F5-4E28-9C56-8FA0DB9155FA}" xr6:coauthVersionLast="47" xr6:coauthVersionMax="47" xr10:uidLastSave="{AEAF0FF8-16B0-4F74-9F09-1A01E020BABA}"/>
  <bookViews>
    <workbookView xWindow="-120" yWindow="-120" windowWidth="29040" windowHeight="15720" xr2:uid="{99EAB20E-0F92-4B24-9D6E-661C1DF9210C}"/>
  </bookViews>
  <sheets>
    <sheet name="Final Results" sheetId="2" r:id="rId1"/>
    <sheet name="Run File 09.10.24" sheetId="6" r:id="rId2"/>
    <sheet name="Run File 10.15.24" sheetId="13" r:id="rId3"/>
    <sheet name="Run File 10.22.24" sheetId="10" r:id="rId4"/>
    <sheet name="Run File 11.14.24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1" i="2" l="1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A52" i="2"/>
  <c r="A53" i="2"/>
  <c r="A54" i="2"/>
  <c r="A55" i="2"/>
  <c r="A56" i="2"/>
  <c r="A57" i="2"/>
  <c r="A58" i="2"/>
  <c r="A59" i="2"/>
  <c r="A60" i="2"/>
  <c r="A51" i="2"/>
  <c r="E66" i="6"/>
  <c r="F66" i="6"/>
  <c r="G66" i="6"/>
  <c r="E67" i="6"/>
  <c r="F67" i="6"/>
  <c r="G67" i="6"/>
  <c r="E68" i="6"/>
  <c r="F68" i="6"/>
  <c r="G68" i="6"/>
  <c r="E69" i="6"/>
  <c r="F69" i="6"/>
  <c r="G69" i="6"/>
  <c r="E70" i="6"/>
  <c r="F70" i="6"/>
  <c r="G70" i="6"/>
  <c r="E71" i="6"/>
  <c r="F71" i="6"/>
  <c r="G71" i="6"/>
  <c r="E72" i="6"/>
  <c r="F72" i="6"/>
  <c r="G72" i="6"/>
  <c r="E73" i="6"/>
  <c r="F73" i="6"/>
  <c r="G73" i="6"/>
  <c r="E74" i="6"/>
  <c r="F74" i="6"/>
  <c r="G74" i="6"/>
  <c r="E75" i="6"/>
  <c r="F75" i="6"/>
  <c r="G75" i="6"/>
  <c r="E76" i="6"/>
  <c r="F76" i="6"/>
  <c r="G76" i="6"/>
  <c r="E77" i="6"/>
  <c r="F77" i="6"/>
  <c r="G77" i="6"/>
  <c r="E78" i="6"/>
  <c r="F78" i="6"/>
  <c r="G78" i="6"/>
  <c r="B14" i="2" l="1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G138" i="2" s="1"/>
  <c r="B139" i="2"/>
  <c r="F139" i="2" s="1"/>
  <c r="C139" i="2"/>
  <c r="G139" i="2" s="1"/>
  <c r="B140" i="2"/>
  <c r="C140" i="2"/>
  <c r="B141" i="2"/>
  <c r="C141" i="2"/>
  <c r="G141" i="2" s="1"/>
  <c r="B142" i="2"/>
  <c r="F142" i="2" s="1"/>
  <c r="C142" i="2"/>
  <c r="G142" i="2" s="1"/>
  <c r="B143" i="2"/>
  <c r="C143" i="2"/>
  <c r="B144" i="2"/>
  <c r="C144" i="2"/>
  <c r="G144" i="2" s="1"/>
  <c r="B145" i="2"/>
  <c r="F145" i="2" s="1"/>
  <c r="C145" i="2"/>
  <c r="G145" i="2" s="1"/>
  <c r="B146" i="2"/>
  <c r="C146" i="2"/>
  <c r="B147" i="2"/>
  <c r="C147" i="2"/>
  <c r="G147" i="2" s="1"/>
  <c r="B148" i="2"/>
  <c r="F148" i="2" s="1"/>
  <c r="C148" i="2"/>
  <c r="G148" i="2" s="1"/>
  <c r="B149" i="2"/>
  <c r="C149" i="2"/>
  <c r="B150" i="2"/>
  <c r="C150" i="2"/>
  <c r="B151" i="2"/>
  <c r="F151" i="2" s="1"/>
  <c r="C151" i="2"/>
  <c r="G151" i="2" s="1"/>
  <c r="B152" i="2"/>
  <c r="F152" i="2" s="1"/>
  <c r="C152" i="2"/>
  <c r="G152" i="2" s="1"/>
  <c r="B153" i="2"/>
  <c r="C153" i="2"/>
  <c r="G153" i="2" s="1"/>
  <c r="B154" i="2"/>
  <c r="F154" i="2" s="1"/>
  <c r="C154" i="2"/>
  <c r="G154" i="2" s="1"/>
  <c r="A152" i="2"/>
  <c r="A153" i="2"/>
  <c r="E153" i="2" s="1"/>
  <c r="A154" i="2"/>
  <c r="E154" i="2" s="1"/>
  <c r="A151" i="2"/>
  <c r="E151" i="2" s="1"/>
  <c r="A142" i="2"/>
  <c r="E142" i="2" s="1"/>
  <c r="A143" i="2"/>
  <c r="E143" i="2" s="1"/>
  <c r="A144" i="2"/>
  <c r="A145" i="2"/>
  <c r="E145" i="2" s="1"/>
  <c r="A146" i="2"/>
  <c r="A147" i="2"/>
  <c r="E147" i="2" s="1"/>
  <c r="A148" i="2"/>
  <c r="E148" i="2" s="1"/>
  <c r="A149" i="2"/>
  <c r="E149" i="2" s="1"/>
  <c r="A150" i="2"/>
  <c r="A141" i="2"/>
  <c r="E141" i="2" s="1"/>
  <c r="A132" i="2"/>
  <c r="A133" i="2"/>
  <c r="A134" i="2"/>
  <c r="A135" i="2"/>
  <c r="A136" i="2"/>
  <c r="A137" i="2"/>
  <c r="A138" i="2"/>
  <c r="A139" i="2"/>
  <c r="E139" i="2" s="1"/>
  <c r="A140" i="2"/>
  <c r="E140" i="2" s="1"/>
  <c r="A131" i="2"/>
  <c r="A122" i="2"/>
  <c r="A123" i="2"/>
  <c r="A124" i="2"/>
  <c r="A125" i="2"/>
  <c r="A126" i="2"/>
  <c r="A127" i="2"/>
  <c r="A128" i="2"/>
  <c r="A129" i="2"/>
  <c r="A130" i="2"/>
  <c r="A121" i="2"/>
  <c r="A112" i="2"/>
  <c r="A113" i="2"/>
  <c r="A114" i="2"/>
  <c r="A115" i="2"/>
  <c r="A116" i="2"/>
  <c r="A117" i="2"/>
  <c r="A118" i="2"/>
  <c r="A119" i="2"/>
  <c r="A120" i="2"/>
  <c r="A111" i="2"/>
  <c r="A102" i="2"/>
  <c r="A103" i="2"/>
  <c r="A104" i="2"/>
  <c r="A105" i="2"/>
  <c r="A106" i="2"/>
  <c r="A107" i="2"/>
  <c r="A108" i="2"/>
  <c r="A109" i="2"/>
  <c r="A110" i="2"/>
  <c r="A101" i="2"/>
  <c r="A92" i="2"/>
  <c r="A93" i="2"/>
  <c r="A94" i="2"/>
  <c r="A95" i="2"/>
  <c r="A96" i="2"/>
  <c r="A97" i="2"/>
  <c r="A98" i="2"/>
  <c r="A99" i="2"/>
  <c r="A100" i="2"/>
  <c r="A91" i="2"/>
  <c r="A82" i="2"/>
  <c r="A83" i="2"/>
  <c r="A84" i="2"/>
  <c r="A85" i="2"/>
  <c r="A86" i="2"/>
  <c r="A87" i="2"/>
  <c r="A88" i="2"/>
  <c r="A89" i="2"/>
  <c r="A90" i="2"/>
  <c r="A81" i="2"/>
  <c r="A72" i="2"/>
  <c r="A73" i="2"/>
  <c r="A74" i="2"/>
  <c r="A75" i="2"/>
  <c r="A76" i="2"/>
  <c r="A77" i="2"/>
  <c r="A78" i="2"/>
  <c r="A79" i="2"/>
  <c r="A80" i="2"/>
  <c r="A71" i="2"/>
  <c r="A62" i="2"/>
  <c r="A63" i="2"/>
  <c r="A64" i="2"/>
  <c r="A65" i="2"/>
  <c r="A66" i="2"/>
  <c r="A67" i="2"/>
  <c r="A68" i="2"/>
  <c r="A69" i="2"/>
  <c r="A70" i="2"/>
  <c r="A61" i="2"/>
  <c r="A42" i="2"/>
  <c r="A43" i="2"/>
  <c r="A44" i="2"/>
  <c r="A45" i="2"/>
  <c r="A46" i="2"/>
  <c r="A47" i="2"/>
  <c r="A48" i="2"/>
  <c r="A49" i="2"/>
  <c r="A50" i="2"/>
  <c r="A41" i="2"/>
  <c r="A32" i="2"/>
  <c r="A33" i="2"/>
  <c r="A34" i="2"/>
  <c r="A35" i="2"/>
  <c r="A36" i="2"/>
  <c r="A37" i="2"/>
  <c r="A38" i="2"/>
  <c r="A39" i="2"/>
  <c r="A40" i="2"/>
  <c r="A31" i="2"/>
  <c r="A22" i="2"/>
  <c r="A23" i="2"/>
  <c r="A24" i="2"/>
  <c r="A25" i="2"/>
  <c r="A26" i="2"/>
  <c r="A27" i="2"/>
  <c r="A28" i="2"/>
  <c r="A29" i="2"/>
  <c r="A30" i="2"/>
  <c r="A21" i="2"/>
  <c r="A15" i="2"/>
  <c r="A16" i="2"/>
  <c r="A17" i="2"/>
  <c r="A18" i="2"/>
  <c r="A19" i="2"/>
  <c r="A20" i="2"/>
  <c r="A14" i="2"/>
  <c r="G49" i="14"/>
  <c r="F49" i="14"/>
  <c r="E49" i="14"/>
  <c r="G48" i="14"/>
  <c r="F48" i="14"/>
  <c r="E48" i="14"/>
  <c r="G47" i="14"/>
  <c r="F47" i="14"/>
  <c r="E47" i="14"/>
  <c r="G46" i="14"/>
  <c r="F46" i="14"/>
  <c r="E46" i="14"/>
  <c r="G45" i="14"/>
  <c r="F45" i="14"/>
  <c r="E45" i="14"/>
  <c r="G44" i="14"/>
  <c r="F44" i="14"/>
  <c r="E44" i="14"/>
  <c r="G43" i="14"/>
  <c r="F43" i="14"/>
  <c r="E43" i="14"/>
  <c r="G42" i="14"/>
  <c r="F42" i="14"/>
  <c r="E42" i="14"/>
  <c r="G41" i="14"/>
  <c r="F41" i="14"/>
  <c r="E41" i="14"/>
  <c r="G40" i="14"/>
  <c r="F40" i="14"/>
  <c r="E40" i="14"/>
  <c r="G39" i="14"/>
  <c r="F39" i="14"/>
  <c r="E39" i="14"/>
  <c r="G38" i="14"/>
  <c r="F38" i="14"/>
  <c r="E38" i="14"/>
  <c r="G37" i="14"/>
  <c r="F37" i="14"/>
  <c r="E37" i="14"/>
  <c r="G36" i="14"/>
  <c r="F36" i="14"/>
  <c r="E36" i="14"/>
  <c r="G35" i="14"/>
  <c r="F35" i="14"/>
  <c r="E35" i="14"/>
  <c r="G34" i="14"/>
  <c r="F34" i="14"/>
  <c r="E34" i="14"/>
  <c r="G33" i="14"/>
  <c r="F33" i="14"/>
  <c r="E33" i="14"/>
  <c r="G32" i="14"/>
  <c r="F32" i="14"/>
  <c r="E32" i="14"/>
  <c r="G31" i="14"/>
  <c r="F31" i="14"/>
  <c r="E31" i="14"/>
  <c r="G30" i="14"/>
  <c r="F30" i="14"/>
  <c r="E30" i="14"/>
  <c r="G29" i="14"/>
  <c r="F29" i="14"/>
  <c r="E29" i="14"/>
  <c r="G28" i="14"/>
  <c r="F28" i="14"/>
  <c r="E28" i="14"/>
  <c r="G27" i="14"/>
  <c r="F27" i="14"/>
  <c r="E27" i="14"/>
  <c r="G26" i="14"/>
  <c r="F26" i="14"/>
  <c r="E26" i="14"/>
  <c r="G25" i="14"/>
  <c r="F25" i="14"/>
  <c r="E25" i="14"/>
  <c r="G24" i="14"/>
  <c r="F24" i="14"/>
  <c r="E24" i="14"/>
  <c r="G23" i="14"/>
  <c r="F23" i="14"/>
  <c r="E23" i="14"/>
  <c r="G22" i="14"/>
  <c r="F22" i="14"/>
  <c r="E22" i="14"/>
  <c r="G21" i="14"/>
  <c r="F21" i="14"/>
  <c r="E21" i="14"/>
  <c r="G20" i="14"/>
  <c r="F20" i="14"/>
  <c r="E20" i="14"/>
  <c r="G19" i="14"/>
  <c r="F19" i="14"/>
  <c r="E19" i="14"/>
  <c r="G18" i="14"/>
  <c r="F18" i="14"/>
  <c r="E18" i="14"/>
  <c r="G17" i="14"/>
  <c r="F17" i="14"/>
  <c r="E17" i="14"/>
  <c r="G16" i="14"/>
  <c r="F16" i="14"/>
  <c r="E16" i="14"/>
  <c r="G15" i="14"/>
  <c r="F15" i="14"/>
  <c r="E15" i="14"/>
  <c r="G14" i="14"/>
  <c r="F14" i="14"/>
  <c r="E14" i="14"/>
  <c r="E56" i="13"/>
  <c r="F56" i="13"/>
  <c r="G56" i="13"/>
  <c r="E57" i="13"/>
  <c r="F57" i="13"/>
  <c r="G57" i="13"/>
  <c r="E58" i="13"/>
  <c r="F58" i="13"/>
  <c r="G58" i="13"/>
  <c r="E59" i="13"/>
  <c r="F59" i="13"/>
  <c r="G59" i="13"/>
  <c r="E60" i="13"/>
  <c r="F60" i="13"/>
  <c r="G60" i="13"/>
  <c r="E61" i="13"/>
  <c r="F61" i="13"/>
  <c r="G61" i="13"/>
  <c r="E62" i="13"/>
  <c r="F62" i="13"/>
  <c r="G62" i="13"/>
  <c r="E63" i="13"/>
  <c r="F63" i="13"/>
  <c r="G63" i="13"/>
  <c r="E64" i="13"/>
  <c r="F64" i="13"/>
  <c r="G64" i="13"/>
  <c r="E65" i="13"/>
  <c r="F65" i="13"/>
  <c r="G65" i="13"/>
  <c r="E66" i="13"/>
  <c r="F66" i="13"/>
  <c r="G66" i="13"/>
  <c r="E67" i="13"/>
  <c r="F67" i="13"/>
  <c r="G67" i="13"/>
  <c r="E68" i="13"/>
  <c r="F68" i="13"/>
  <c r="G68" i="13"/>
  <c r="E69" i="13"/>
  <c r="F69" i="13"/>
  <c r="G69" i="13"/>
  <c r="E70" i="13"/>
  <c r="F70" i="13"/>
  <c r="G70" i="13"/>
  <c r="E71" i="13"/>
  <c r="F71" i="13"/>
  <c r="G71" i="13"/>
  <c r="E72" i="13"/>
  <c r="F72" i="13"/>
  <c r="G72" i="13"/>
  <c r="E73" i="13"/>
  <c r="F73" i="13"/>
  <c r="G73" i="13"/>
  <c r="E74" i="13"/>
  <c r="F74" i="13"/>
  <c r="G74" i="13"/>
  <c r="E75" i="13"/>
  <c r="F75" i="13"/>
  <c r="G75" i="13"/>
  <c r="E76" i="13"/>
  <c r="F76" i="13"/>
  <c r="G76" i="13"/>
  <c r="E77" i="13"/>
  <c r="F77" i="13"/>
  <c r="G77" i="13"/>
  <c r="E78" i="13"/>
  <c r="F78" i="13"/>
  <c r="G78" i="13"/>
  <c r="E79" i="13"/>
  <c r="F79" i="13"/>
  <c r="G79" i="13"/>
  <c r="E80" i="13"/>
  <c r="F80" i="13"/>
  <c r="G80" i="13"/>
  <c r="E81" i="13"/>
  <c r="F81" i="13"/>
  <c r="G81" i="13"/>
  <c r="E137" i="2"/>
  <c r="E144" i="2"/>
  <c r="G150" i="2"/>
  <c r="F137" i="2"/>
  <c r="G137" i="2"/>
  <c r="F138" i="2"/>
  <c r="F140" i="2"/>
  <c r="G140" i="2"/>
  <c r="F141" i="2"/>
  <c r="F143" i="2"/>
  <c r="G143" i="2"/>
  <c r="F144" i="2"/>
  <c r="F146" i="2"/>
  <c r="G146" i="2"/>
  <c r="F147" i="2"/>
  <c r="F149" i="2"/>
  <c r="G149" i="2"/>
  <c r="F150" i="2"/>
  <c r="F153" i="2"/>
  <c r="E146" i="2"/>
  <c r="E150" i="2"/>
  <c r="E152" i="2"/>
  <c r="E138" i="2"/>
  <c r="G55" i="13"/>
  <c r="F55" i="13"/>
  <c r="E55" i="13"/>
  <c r="G54" i="13"/>
  <c r="F54" i="13"/>
  <c r="E54" i="13"/>
  <c r="G53" i="13"/>
  <c r="F53" i="13"/>
  <c r="E53" i="13"/>
  <c r="G52" i="13"/>
  <c r="F52" i="13"/>
  <c r="E52" i="13"/>
  <c r="G51" i="13"/>
  <c r="F51" i="13"/>
  <c r="E51" i="13"/>
  <c r="G50" i="13"/>
  <c r="F50" i="13"/>
  <c r="E50" i="13"/>
  <c r="G49" i="13"/>
  <c r="F49" i="13"/>
  <c r="E49" i="13"/>
  <c r="G48" i="13"/>
  <c r="F48" i="13"/>
  <c r="E48" i="13"/>
  <c r="G47" i="13"/>
  <c r="F47" i="13"/>
  <c r="E47" i="13"/>
  <c r="G46" i="13"/>
  <c r="F46" i="13"/>
  <c r="E46" i="13"/>
  <c r="G45" i="13"/>
  <c r="F45" i="13"/>
  <c r="E45" i="13"/>
  <c r="G44" i="13"/>
  <c r="F44" i="13"/>
  <c r="E44" i="13"/>
  <c r="G43" i="13"/>
  <c r="F43" i="13"/>
  <c r="E43" i="13"/>
  <c r="G42" i="13"/>
  <c r="F42" i="13"/>
  <c r="E42" i="13"/>
  <c r="G41" i="13"/>
  <c r="F41" i="13"/>
  <c r="E41" i="13"/>
  <c r="G40" i="13"/>
  <c r="F40" i="13"/>
  <c r="E40" i="13"/>
  <c r="G39" i="13"/>
  <c r="F39" i="13"/>
  <c r="E39" i="13"/>
  <c r="G38" i="13"/>
  <c r="F38" i="13"/>
  <c r="E38" i="13"/>
  <c r="G37" i="13"/>
  <c r="F37" i="13"/>
  <c r="E37" i="13"/>
  <c r="G36" i="13"/>
  <c r="F36" i="13"/>
  <c r="E36" i="13"/>
  <c r="G35" i="13"/>
  <c r="F35" i="13"/>
  <c r="E35" i="13"/>
  <c r="G34" i="13"/>
  <c r="F34" i="13"/>
  <c r="E34" i="13"/>
  <c r="G33" i="13"/>
  <c r="F33" i="13"/>
  <c r="E33" i="13"/>
  <c r="G32" i="13"/>
  <c r="F32" i="13"/>
  <c r="E32" i="13"/>
  <c r="G31" i="13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G23" i="13"/>
  <c r="F23" i="13"/>
  <c r="E23" i="13"/>
  <c r="G22" i="13"/>
  <c r="F22" i="13"/>
  <c r="E22" i="13"/>
  <c r="G21" i="13"/>
  <c r="F21" i="13"/>
  <c r="E21" i="13"/>
  <c r="G20" i="13"/>
  <c r="F20" i="13"/>
  <c r="E20" i="13"/>
  <c r="G19" i="13"/>
  <c r="F19" i="13"/>
  <c r="E19" i="13"/>
  <c r="G18" i="13"/>
  <c r="F18" i="13"/>
  <c r="E18" i="13"/>
  <c r="G17" i="13"/>
  <c r="F17" i="13"/>
  <c r="E17" i="13"/>
  <c r="G16" i="13"/>
  <c r="F16" i="13"/>
  <c r="E16" i="13"/>
  <c r="G15" i="13"/>
  <c r="F15" i="13"/>
  <c r="E15" i="13"/>
  <c r="G14" i="13"/>
  <c r="F14" i="13"/>
  <c r="E14" i="13"/>
  <c r="G42" i="10"/>
  <c r="F42" i="10"/>
  <c r="E42" i="10"/>
  <c r="G41" i="10"/>
  <c r="F41" i="10"/>
  <c r="E41" i="10"/>
  <c r="G40" i="10"/>
  <c r="F40" i="10"/>
  <c r="E40" i="10"/>
  <c r="G39" i="10"/>
  <c r="F39" i="10"/>
  <c r="E39" i="10"/>
  <c r="G38" i="10"/>
  <c r="F38" i="10"/>
  <c r="E38" i="10"/>
  <c r="G37" i="10"/>
  <c r="F37" i="10"/>
  <c r="E37" i="10"/>
  <c r="G36" i="10"/>
  <c r="F36" i="10"/>
  <c r="E36" i="10"/>
  <c r="G35" i="10"/>
  <c r="F35" i="10"/>
  <c r="E35" i="10"/>
  <c r="G34" i="10"/>
  <c r="F34" i="10"/>
  <c r="E34" i="10"/>
  <c r="G33" i="10"/>
  <c r="F33" i="10"/>
  <c r="E33" i="10"/>
  <c r="G32" i="10"/>
  <c r="F32" i="10"/>
  <c r="E32" i="10"/>
  <c r="G31" i="10"/>
  <c r="F31" i="10"/>
  <c r="E31" i="10"/>
  <c r="G30" i="10"/>
  <c r="F30" i="10"/>
  <c r="E30" i="10"/>
  <c r="G29" i="10"/>
  <c r="F29" i="10"/>
  <c r="E29" i="10"/>
  <c r="G28" i="10"/>
  <c r="F28" i="10"/>
  <c r="E28" i="10"/>
  <c r="G27" i="10"/>
  <c r="F27" i="10"/>
  <c r="E27" i="10"/>
  <c r="G26" i="10"/>
  <c r="F26" i="10"/>
  <c r="E26" i="10"/>
  <c r="G25" i="10"/>
  <c r="F25" i="10"/>
  <c r="E25" i="10"/>
  <c r="G24" i="10"/>
  <c r="F24" i="10"/>
  <c r="E24" i="10"/>
  <c r="G23" i="10"/>
  <c r="F23" i="10"/>
  <c r="E23" i="10"/>
  <c r="G22" i="10"/>
  <c r="F22" i="10"/>
  <c r="E22" i="10"/>
  <c r="G21" i="10"/>
  <c r="F21" i="10"/>
  <c r="E21" i="10"/>
  <c r="G20" i="10"/>
  <c r="F20" i="10"/>
  <c r="E20" i="10"/>
  <c r="G19" i="10"/>
  <c r="F19" i="10"/>
  <c r="E19" i="10"/>
  <c r="G18" i="10"/>
  <c r="F18" i="10"/>
  <c r="E18" i="10"/>
  <c r="G17" i="10"/>
  <c r="F17" i="10"/>
  <c r="E17" i="10"/>
  <c r="G16" i="10"/>
  <c r="F16" i="10"/>
  <c r="E16" i="10"/>
  <c r="G15" i="10"/>
  <c r="F15" i="10"/>
  <c r="E15" i="10"/>
  <c r="G14" i="10"/>
  <c r="F14" i="10"/>
  <c r="E14" i="10"/>
  <c r="E18" i="6"/>
  <c r="F18" i="6"/>
  <c r="G18" i="6"/>
  <c r="E19" i="6"/>
  <c r="F19" i="6"/>
  <c r="G19" i="6"/>
  <c r="E20" i="6"/>
  <c r="F20" i="6"/>
  <c r="G20" i="6"/>
  <c r="E107" i="2" l="1"/>
  <c r="F109" i="2"/>
  <c r="E111" i="2"/>
  <c r="G111" i="2"/>
  <c r="E113" i="2"/>
  <c r="F115" i="2"/>
  <c r="E117" i="2"/>
  <c r="G117" i="2"/>
  <c r="E119" i="2"/>
  <c r="E121" i="2"/>
  <c r="G123" i="2"/>
  <c r="E125" i="2"/>
  <c r="G126" i="2"/>
  <c r="E129" i="2"/>
  <c r="G132" i="2"/>
  <c r="E133" i="2"/>
  <c r="E135" i="2"/>
  <c r="G15" i="2"/>
  <c r="F16" i="2"/>
  <c r="G16" i="2"/>
  <c r="F17" i="2"/>
  <c r="G17" i="2"/>
  <c r="F18" i="2"/>
  <c r="G18" i="2"/>
  <c r="G19" i="2"/>
  <c r="F20" i="2"/>
  <c r="F21" i="2"/>
  <c r="F22" i="2"/>
  <c r="G22" i="2"/>
  <c r="F23" i="2"/>
  <c r="G23" i="2"/>
  <c r="F24" i="2"/>
  <c r="G24" i="2"/>
  <c r="F25" i="2"/>
  <c r="G25" i="2"/>
  <c r="F26" i="2"/>
  <c r="G26" i="2"/>
  <c r="F27" i="2"/>
  <c r="F28" i="2"/>
  <c r="G28" i="2"/>
  <c r="F29" i="2"/>
  <c r="F30" i="2"/>
  <c r="G30" i="2"/>
  <c r="F31" i="2"/>
  <c r="G31" i="2"/>
  <c r="G32" i="2"/>
  <c r="G33" i="2"/>
  <c r="F34" i="2"/>
  <c r="G34" i="2"/>
  <c r="G35" i="2"/>
  <c r="F36" i="2"/>
  <c r="G36" i="2"/>
  <c r="F37" i="2"/>
  <c r="G37" i="2"/>
  <c r="F38" i="2"/>
  <c r="F39" i="2"/>
  <c r="G39" i="2"/>
  <c r="F40" i="2"/>
  <c r="G40" i="2"/>
  <c r="F41" i="2"/>
  <c r="G41" i="2"/>
  <c r="F42" i="2"/>
  <c r="G42" i="2"/>
  <c r="F43" i="2"/>
  <c r="G43" i="2"/>
  <c r="G44" i="2"/>
  <c r="F45" i="2"/>
  <c r="G45" i="2"/>
  <c r="G46" i="2"/>
  <c r="G47" i="2"/>
  <c r="G48" i="2"/>
  <c r="F49" i="2"/>
  <c r="G49" i="2"/>
  <c r="F50" i="2"/>
  <c r="F61" i="2"/>
  <c r="G61" i="2"/>
  <c r="G62" i="2"/>
  <c r="F63" i="2"/>
  <c r="G64" i="2"/>
  <c r="F65" i="2"/>
  <c r="G65" i="2"/>
  <c r="F66" i="2"/>
  <c r="G68" i="2"/>
  <c r="F69" i="2"/>
  <c r="F70" i="2"/>
  <c r="G70" i="2"/>
  <c r="F71" i="2"/>
  <c r="G71" i="2"/>
  <c r="F72" i="2"/>
  <c r="F73" i="2"/>
  <c r="G73" i="2"/>
  <c r="F74" i="2"/>
  <c r="G74" i="2"/>
  <c r="F75" i="2"/>
  <c r="F76" i="2"/>
  <c r="G76" i="2"/>
  <c r="G77" i="2"/>
  <c r="F78" i="2"/>
  <c r="F79" i="2"/>
  <c r="G79" i="2"/>
  <c r="F81" i="2"/>
  <c r="F82" i="2"/>
  <c r="G82" i="2"/>
  <c r="G83" i="2"/>
  <c r="F84" i="2"/>
  <c r="G84" i="2"/>
  <c r="F85" i="2"/>
  <c r="G85" i="2"/>
  <c r="F86" i="2"/>
  <c r="G86" i="2"/>
  <c r="F87" i="2"/>
  <c r="F88" i="2"/>
  <c r="G88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G109" i="2"/>
  <c r="F110" i="2"/>
  <c r="G110" i="2"/>
  <c r="F111" i="2"/>
  <c r="F112" i="2"/>
  <c r="G112" i="2"/>
  <c r="F113" i="2"/>
  <c r="G113" i="2"/>
  <c r="F114" i="2"/>
  <c r="G114" i="2"/>
  <c r="G115" i="2"/>
  <c r="F116" i="2"/>
  <c r="G116" i="2"/>
  <c r="F117" i="2"/>
  <c r="F118" i="2"/>
  <c r="G118" i="2"/>
  <c r="F119" i="2"/>
  <c r="G119" i="2"/>
  <c r="F120" i="2"/>
  <c r="G120" i="2"/>
  <c r="F121" i="2"/>
  <c r="G121" i="2"/>
  <c r="F122" i="2"/>
  <c r="G122" i="2"/>
  <c r="F123" i="2"/>
  <c r="F124" i="2"/>
  <c r="G124" i="2"/>
  <c r="F125" i="2"/>
  <c r="G125" i="2"/>
  <c r="F126" i="2"/>
  <c r="F127" i="2"/>
  <c r="G127" i="2"/>
  <c r="F128" i="2"/>
  <c r="G128" i="2"/>
  <c r="F129" i="2"/>
  <c r="G129" i="2"/>
  <c r="F130" i="2"/>
  <c r="G130" i="2"/>
  <c r="F131" i="2"/>
  <c r="G131" i="2"/>
  <c r="F132" i="2"/>
  <c r="F133" i="2"/>
  <c r="G133" i="2"/>
  <c r="F134" i="2"/>
  <c r="G134" i="2"/>
  <c r="F135" i="2"/>
  <c r="G135" i="2"/>
  <c r="F136" i="2"/>
  <c r="G136" i="2"/>
  <c r="E128" i="2"/>
  <c r="E130" i="2"/>
  <c r="E131" i="2"/>
  <c r="E132" i="2"/>
  <c r="E134" i="2"/>
  <c r="E136" i="2"/>
  <c r="E127" i="2"/>
  <c r="E118" i="2"/>
  <c r="E120" i="2"/>
  <c r="E122" i="2"/>
  <c r="E123" i="2"/>
  <c r="E124" i="2"/>
  <c r="E126" i="2"/>
  <c r="E108" i="2"/>
  <c r="E109" i="2"/>
  <c r="E110" i="2"/>
  <c r="E112" i="2"/>
  <c r="E114" i="2"/>
  <c r="E115" i="2"/>
  <c r="E116" i="2"/>
  <c r="E98" i="2"/>
  <c r="E99" i="2"/>
  <c r="E100" i="2"/>
  <c r="E101" i="2"/>
  <c r="E102" i="2"/>
  <c r="E103" i="2"/>
  <c r="E104" i="2"/>
  <c r="E105" i="2"/>
  <c r="E106" i="2"/>
  <c r="E97" i="2"/>
  <c r="E88" i="2"/>
  <c r="E90" i="2"/>
  <c r="E91" i="2"/>
  <c r="E92" i="2"/>
  <c r="E93" i="2"/>
  <c r="E94" i="2"/>
  <c r="E95" i="2"/>
  <c r="E96" i="2"/>
  <c r="E87" i="2"/>
  <c r="E78" i="2"/>
  <c r="E79" i="2"/>
  <c r="E81" i="2"/>
  <c r="E83" i="2"/>
  <c r="E84" i="2"/>
  <c r="E86" i="2"/>
  <c r="E89" i="2"/>
  <c r="E68" i="2"/>
  <c r="E69" i="2"/>
  <c r="E71" i="2"/>
  <c r="E72" i="2"/>
  <c r="E73" i="2"/>
  <c r="E74" i="2"/>
  <c r="E75" i="2"/>
  <c r="E76" i="2"/>
  <c r="E80" i="2"/>
  <c r="E67" i="2"/>
  <c r="E63" i="2"/>
  <c r="E64" i="2"/>
  <c r="E65" i="2"/>
  <c r="E50" i="2"/>
  <c r="E42" i="2"/>
  <c r="E43" i="2"/>
  <c r="E44" i="2"/>
  <c r="E45" i="2"/>
  <c r="E46" i="2"/>
  <c r="E47" i="2"/>
  <c r="E49" i="2"/>
  <c r="E41" i="2"/>
  <c r="E32" i="2"/>
  <c r="E33" i="2"/>
  <c r="E34" i="2"/>
  <c r="E35" i="2"/>
  <c r="E37" i="2"/>
  <c r="E38" i="2"/>
  <c r="E39" i="2"/>
  <c r="E40" i="2"/>
  <c r="E31" i="2"/>
  <c r="E22" i="2"/>
  <c r="E23" i="2"/>
  <c r="E24" i="2"/>
  <c r="E25" i="2"/>
  <c r="E26" i="2"/>
  <c r="E27" i="2"/>
  <c r="E28" i="2"/>
  <c r="E29" i="2"/>
  <c r="E30" i="2"/>
  <c r="E21" i="2"/>
  <c r="E15" i="2"/>
  <c r="E16" i="2"/>
  <c r="E18" i="2"/>
  <c r="E19" i="2"/>
  <c r="E20" i="2"/>
  <c r="G81" i="2"/>
  <c r="F83" i="2"/>
  <c r="G87" i="2"/>
  <c r="F89" i="2"/>
  <c r="G80" i="2"/>
  <c r="F80" i="2"/>
  <c r="E36" i="2"/>
  <c r="E48" i="2"/>
  <c r="E61" i="2"/>
  <c r="E62" i="2"/>
  <c r="E66" i="2"/>
  <c r="E70" i="2"/>
  <c r="E77" i="2"/>
  <c r="E82" i="2"/>
  <c r="E85" i="2"/>
  <c r="F15" i="2"/>
  <c r="F19" i="2"/>
  <c r="G20" i="2"/>
  <c r="G21" i="2"/>
  <c r="G27" i="2"/>
  <c r="G29" i="2"/>
  <c r="F32" i="2"/>
  <c r="F33" i="2"/>
  <c r="F35" i="2"/>
  <c r="G38" i="2"/>
  <c r="F44" i="2"/>
  <c r="F46" i="2"/>
  <c r="F47" i="2"/>
  <c r="F48" i="2"/>
  <c r="G50" i="2"/>
  <c r="F62" i="2"/>
  <c r="G63" i="2"/>
  <c r="F64" i="2"/>
  <c r="G66" i="2"/>
  <c r="F67" i="2"/>
  <c r="G67" i="2"/>
  <c r="F68" i="2"/>
  <c r="G69" i="2"/>
  <c r="G72" i="2"/>
  <c r="G75" i="2"/>
  <c r="F77" i="2"/>
  <c r="G78" i="2"/>
  <c r="E17" i="2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36" i="6"/>
  <c r="E33" i="6"/>
  <c r="E34" i="6"/>
  <c r="E35" i="6"/>
  <c r="E29" i="6"/>
  <c r="E30" i="6"/>
  <c r="E31" i="6"/>
  <c r="E32" i="6"/>
  <c r="F64" i="6"/>
  <c r="G64" i="6"/>
  <c r="F65" i="6"/>
  <c r="G65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E28" i="6"/>
  <c r="G27" i="6"/>
  <c r="F27" i="6"/>
  <c r="E27" i="6"/>
  <c r="G26" i="6"/>
  <c r="F26" i="6"/>
  <c r="E26" i="6"/>
  <c r="G25" i="6"/>
  <c r="F25" i="6"/>
  <c r="E25" i="6"/>
  <c r="G24" i="6"/>
  <c r="F24" i="6"/>
  <c r="E24" i="6"/>
  <c r="G23" i="6"/>
  <c r="F23" i="6"/>
  <c r="E23" i="6"/>
  <c r="G22" i="6"/>
  <c r="F22" i="6"/>
  <c r="E22" i="6"/>
  <c r="G21" i="6"/>
  <c r="F21" i="6"/>
  <c r="E21" i="6"/>
  <c r="G17" i="6"/>
  <c r="F17" i="6"/>
  <c r="E17" i="6"/>
  <c r="G16" i="6"/>
  <c r="F16" i="6"/>
  <c r="E16" i="6"/>
  <c r="G15" i="6"/>
  <c r="F15" i="6"/>
  <c r="E15" i="6"/>
  <c r="G14" i="6"/>
  <c r="F14" i="6"/>
  <c r="E14" i="6"/>
  <c r="F14" i="2" l="1"/>
  <c r="G14" i="2"/>
  <c r="E14" i="2"/>
</calcChain>
</file>

<file path=xl/sharedStrings.xml><?xml version="1.0" encoding="utf-8"?>
<sst xmlns="http://schemas.openxmlformats.org/spreadsheetml/2006/main" count="302" uniqueCount="175">
  <si>
    <t>System</t>
  </si>
  <si>
    <t>TOCReg</t>
  </si>
  <si>
    <t>Deep Seawater Reference Material</t>
    <phoneticPr fontId="0" type="noConversion"/>
  </si>
  <si>
    <t>S/W Version</t>
  </si>
  <si>
    <t>User</t>
  </si>
  <si>
    <t>Date</t>
  </si>
  <si>
    <t>Comments</t>
  </si>
  <si>
    <t>Standards</t>
    <phoneticPr fontId="0" type="noConversion"/>
  </si>
  <si>
    <t>Range</t>
    <phoneticPr fontId="0" type="noConversion"/>
  </si>
  <si>
    <t>0-5mg/L</t>
    <phoneticPr fontId="0" type="noConversion"/>
  </si>
  <si>
    <t>Raw data (mg/L)</t>
    <phoneticPr fontId="0" type="noConversion"/>
  </si>
  <si>
    <t>Unit conversion</t>
    <phoneticPr fontId="0" type="noConversion"/>
  </si>
  <si>
    <t>Sample</t>
    <phoneticPr fontId="0" type="noConversion"/>
  </si>
  <si>
    <t>NPOC (mg/L)</t>
    <phoneticPr fontId="0" type="noConversion"/>
  </si>
  <si>
    <t>TN (mg/L)</t>
    <phoneticPr fontId="0" type="noConversion"/>
  </si>
  <si>
    <t>NPOC (uM)</t>
    <phoneticPr fontId="0" type="noConversion"/>
  </si>
  <si>
    <t>TN (uM)</t>
    <phoneticPr fontId="0" type="noConversion"/>
  </si>
  <si>
    <t>A.Whitworth</t>
  </si>
  <si>
    <t>Data Provided by:</t>
    <phoneticPr fontId="0" type="noConversion"/>
  </si>
  <si>
    <t xml:space="preserve">SOEST Laboratory for </t>
    <phoneticPr fontId="0" type="noConversion"/>
  </si>
  <si>
    <t>Analtyical Biogeochemistry (S-LAB)</t>
    <phoneticPr fontId="0" type="noConversion"/>
  </si>
  <si>
    <t xml:space="preserve">University of Hawaii at Manoa </t>
    <phoneticPr fontId="0" type="noConversion"/>
  </si>
  <si>
    <t>1000 Pope Rd</t>
    <phoneticPr fontId="0" type="noConversion"/>
  </si>
  <si>
    <t>Honolulu, HI 96822</t>
    <phoneticPr fontId="0" type="noConversion"/>
  </si>
  <si>
    <t>808-956-5878</t>
    <phoneticPr fontId="0" type="noConversion"/>
  </si>
  <si>
    <t>Date Samples Received:</t>
    <phoneticPr fontId="0" type="noConversion"/>
  </si>
  <si>
    <t>Project:</t>
  </si>
  <si>
    <t>LNSW</t>
  </si>
  <si>
    <t>DIW</t>
  </si>
  <si>
    <t>NPOC certified reference value 0.504-0.516 mg/L: 42-43 uM</t>
  </si>
  <si>
    <t>TN certified reference value 0.434-0.448 mg/L:  31-32 uM</t>
  </si>
  <si>
    <t>DSWR [B24,L05-24]</t>
  </si>
  <si>
    <t>NPOC certified reference value 0.500-0.521mg/L: 41.6-43.4 uM</t>
  </si>
  <si>
    <t>TN certified reference value 0.423-0.450 mg/L:  30.2-32 uM</t>
  </si>
  <si>
    <t>Nelson/Rochette-Yu Tsuen</t>
  </si>
  <si>
    <t>Nelson/Rochette-Yu Tsuen (9/25/24)</t>
  </si>
  <si>
    <t xml:space="preserve">F1 6/6/24 21:00 </t>
  </si>
  <si>
    <t xml:space="preserve">T1 6/6/24 21:00 </t>
  </si>
  <si>
    <t xml:space="preserve">T2 6/6/24 21:00 </t>
  </si>
  <si>
    <t xml:space="preserve">T3 6/6/24 21:00 </t>
  </si>
  <si>
    <t xml:space="preserve">T4 6/6/24 21:00 </t>
  </si>
  <si>
    <t xml:space="preserve">T5 6/6/24 21:00 </t>
  </si>
  <si>
    <t xml:space="preserve">T6 6/6/24 21:00 </t>
  </si>
  <si>
    <t xml:space="preserve">T7 6/6/24 21:00 </t>
  </si>
  <si>
    <t xml:space="preserve">T8 6/6/24 21:00 </t>
  </si>
  <si>
    <t xml:space="preserve">T9 6/6/24 21:00 </t>
  </si>
  <si>
    <t xml:space="preserve">T10 6/6/24 21:00 </t>
  </si>
  <si>
    <t xml:space="preserve">T11 6/6/24 21:00 </t>
  </si>
  <si>
    <t xml:space="preserve">T12 6/6/24 21:00 </t>
  </si>
  <si>
    <t xml:space="preserve">T13 6/6/24 21:00 </t>
  </si>
  <si>
    <t xml:space="preserve">T14 6/6/24 21:00 </t>
  </si>
  <si>
    <t xml:space="preserve">T15 6/6/24 21:00 </t>
  </si>
  <si>
    <t xml:space="preserve">T16 6/6/24 21:00 </t>
  </si>
  <si>
    <t xml:space="preserve">F1 6/11/24 12:00 </t>
  </si>
  <si>
    <t xml:space="preserve">F2 6/11/24 12:00 </t>
  </si>
  <si>
    <t xml:space="preserve">T1 6/11/24 12:00 </t>
  </si>
  <si>
    <t xml:space="preserve">T2 6/11/24 12:00 </t>
  </si>
  <si>
    <t xml:space="preserve">T3 6/11/24 12:00 </t>
  </si>
  <si>
    <t xml:space="preserve">T4 6/11/24 12:00 </t>
  </si>
  <si>
    <t xml:space="preserve">T5 6/11/24 12:00 </t>
  </si>
  <si>
    <t xml:space="preserve">T6 6/11/24 12:00 </t>
  </si>
  <si>
    <t xml:space="preserve">T7 6/11/24 12:00 </t>
  </si>
  <si>
    <t xml:space="preserve">T8 6/11/24 12:00 </t>
  </si>
  <si>
    <t xml:space="preserve">T10 6/11/24 12:00 </t>
  </si>
  <si>
    <t xml:space="preserve">T11 6/11/24 12:00 </t>
  </si>
  <si>
    <t xml:space="preserve">T12 6/11/24 12:00 </t>
  </si>
  <si>
    <t xml:space="preserve">T13 6/11/24 12:00 </t>
  </si>
  <si>
    <t xml:space="preserve">T14 6/11/24 12:00 </t>
  </si>
  <si>
    <t xml:space="preserve">T15 6/11/24 12:00 </t>
  </si>
  <si>
    <t xml:space="preserve">T16 6/11/24 12:00 </t>
  </si>
  <si>
    <t xml:space="preserve">F1 6/11/24 21:00 </t>
  </si>
  <si>
    <t xml:space="preserve">F2 6/11/24 21:00 </t>
  </si>
  <si>
    <t xml:space="preserve">T9 6/11/24 12:00 </t>
  </si>
  <si>
    <t xml:space="preserve">T11 6/11/24 21:00 </t>
  </si>
  <si>
    <t xml:space="preserve">T12 6/11/24 21:00 </t>
  </si>
  <si>
    <t xml:space="preserve">T13 6/11/24 21:00 </t>
  </si>
  <si>
    <t xml:space="preserve">T14 6/11/24 21:00 </t>
  </si>
  <si>
    <t xml:space="preserve">T15 6/11/24 21:00 </t>
  </si>
  <si>
    <t xml:space="preserve">T16 6/11/24 21:00 </t>
  </si>
  <si>
    <t>IN_1 6/16/24 12:00</t>
  </si>
  <si>
    <t xml:space="preserve">IN_2 6/16/24 12:00 </t>
  </si>
  <si>
    <t xml:space="preserve">T7 6/16/24 12:00 </t>
  </si>
  <si>
    <t xml:space="preserve">T8 6/16/24 12:00 </t>
  </si>
  <si>
    <t xml:space="preserve">T9 6/16/24 12:00 </t>
  </si>
  <si>
    <t xml:space="preserve">T10 6/16/24 12:00 </t>
  </si>
  <si>
    <t xml:space="preserve">T11 6/16/24 12:00 </t>
  </si>
  <si>
    <t xml:space="preserve">T12 6/16/24 12:00 </t>
  </si>
  <si>
    <t xml:space="preserve">T13 6/16/24 12:00 </t>
  </si>
  <si>
    <t xml:space="preserve">T14 6/16/24 12:00 </t>
  </si>
  <si>
    <t xml:space="preserve">T15 6/16/24 12:00 </t>
  </si>
  <si>
    <t xml:space="preserve">T16 6/16/24 12:00 </t>
  </si>
  <si>
    <t>IN_1 6/16/24 21:00</t>
  </si>
  <si>
    <t xml:space="preserve">IN_2 6/16/24 21:00 </t>
  </si>
  <si>
    <t xml:space="preserve">T1A 6/16/24 21:00 </t>
  </si>
  <si>
    <t xml:space="preserve">T2A 6/16/24 21:00 </t>
  </si>
  <si>
    <t xml:space="preserve">T3A 6/16/24 21:00 </t>
  </si>
  <si>
    <t xml:space="preserve">T4A 6/16/24 21:00 </t>
  </si>
  <si>
    <t xml:space="preserve">T5A 6/16/24 21:00 </t>
  </si>
  <si>
    <t xml:space="preserve">T6A 6/16/24 21:00 </t>
  </si>
  <si>
    <t xml:space="preserve">T1B 6/16/24 21:00 </t>
  </si>
  <si>
    <t xml:space="preserve">T2B 6/16/24 21:00 </t>
  </si>
  <si>
    <t xml:space="preserve">T3B 6/16/24 21:00 </t>
  </si>
  <si>
    <t xml:space="preserve">T4B 6/16/24 21:00 </t>
  </si>
  <si>
    <t xml:space="preserve">T5B 6/16/24 21:00 </t>
  </si>
  <si>
    <t xml:space="preserve">T6B 6/16/24 21:00 </t>
  </si>
  <si>
    <t>T7 6/16/24 21:00</t>
  </si>
  <si>
    <t xml:space="preserve">T8 6/16/24 21:00 </t>
  </si>
  <si>
    <t xml:space="preserve">T9 6/16/24 21:00 </t>
  </si>
  <si>
    <t xml:space="preserve">T10 6/16/24 21:00 </t>
  </si>
  <si>
    <t xml:space="preserve">T11 6/16/24 21:00 </t>
  </si>
  <si>
    <t xml:space="preserve">T12 6/16/24 21:00 </t>
  </si>
  <si>
    <t xml:space="preserve">T13 6/16/24 21:00 </t>
  </si>
  <si>
    <t xml:space="preserve">T14 6/16/24 21:00 </t>
  </si>
  <si>
    <t>IN_1 6/20/24 9PM</t>
  </si>
  <si>
    <t xml:space="preserve">IN_2 6/20/24 9PM </t>
  </si>
  <si>
    <t xml:space="preserve">T1 6/20/24 9PM </t>
  </si>
  <si>
    <t xml:space="preserve">T2 6/20/24 9PM </t>
  </si>
  <si>
    <t xml:space="preserve">T3 6/20/24 9PM </t>
  </si>
  <si>
    <t xml:space="preserve">T4 6/20/24 9PM </t>
  </si>
  <si>
    <t xml:space="preserve">T5 6/20/24 9PM </t>
  </si>
  <si>
    <t xml:space="preserve">T6 6/20/24 9PM </t>
  </si>
  <si>
    <t xml:space="preserve">T7 6/20/24 9PM </t>
  </si>
  <si>
    <t xml:space="preserve">T8 6/20/24 9PM </t>
  </si>
  <si>
    <t xml:space="preserve">T9 6/20/24 9PM </t>
  </si>
  <si>
    <t xml:space="preserve">T10 6/20/24 9PM </t>
  </si>
  <si>
    <t>T11 6/20/24 9PM</t>
  </si>
  <si>
    <t xml:space="preserve">T12 6/20/24 9PM </t>
  </si>
  <si>
    <t xml:space="preserve">T13 6/20/24 9PM </t>
  </si>
  <si>
    <t xml:space="preserve">T14 6/20/24 9PM </t>
  </si>
  <si>
    <t xml:space="preserve">T15 6/20/24 9PM </t>
  </si>
  <si>
    <t xml:space="preserve">T16 6/20/24 9PM </t>
  </si>
  <si>
    <t xml:space="preserve">IN_1 6/20/24 NOON </t>
  </si>
  <si>
    <t xml:space="preserve">IN_2 6/20/24 NOON </t>
  </si>
  <si>
    <t xml:space="preserve">T1 6/20/24 NOON </t>
  </si>
  <si>
    <t xml:space="preserve">T2 6/20/24 NOON </t>
  </si>
  <si>
    <t xml:space="preserve">T3 6/20/24 NOON </t>
  </si>
  <si>
    <t xml:space="preserve">T4 6/20/24 NOON </t>
  </si>
  <si>
    <t xml:space="preserve">T5 6/20/24 NOON </t>
  </si>
  <si>
    <t xml:space="preserve">T6 6/20/24 NOON </t>
  </si>
  <si>
    <t xml:space="preserve">T7 6/20/24 NOON </t>
  </si>
  <si>
    <t xml:space="preserve">T8 6/20/24 NOON </t>
  </si>
  <si>
    <t xml:space="preserve">T9 6/20/24 NOON </t>
  </si>
  <si>
    <t xml:space="preserve">T10 6/20/24 NOON </t>
  </si>
  <si>
    <t xml:space="preserve">T11 6/20/24 NOON </t>
  </si>
  <si>
    <t xml:space="preserve">T12 6/20/24 NOON </t>
  </si>
  <si>
    <t>T13 6/20/24 NOON</t>
  </si>
  <si>
    <t xml:space="preserve">T14 6/20/24 NOON </t>
  </si>
  <si>
    <t xml:space="preserve">T15 6/20/24 NOON </t>
  </si>
  <si>
    <t xml:space="preserve">T16 6/20/24 NOON </t>
  </si>
  <si>
    <t xml:space="preserve">C1 6/26/24 14:00 </t>
  </si>
  <si>
    <t xml:space="preserve">C2 6/26/24 14:00 </t>
  </si>
  <si>
    <t xml:space="preserve">C3 6/26/24 14:00 </t>
  </si>
  <si>
    <t xml:space="preserve">C4 6/26/24 14:00 </t>
  </si>
  <si>
    <t xml:space="preserve">C5 6/26/24 14:00 </t>
  </si>
  <si>
    <t xml:space="preserve">C6 6/26/24 14:00 </t>
  </si>
  <si>
    <t xml:space="preserve">C7 6/26/24 14:00 </t>
  </si>
  <si>
    <t>C8 6/26/24 14:00</t>
  </si>
  <si>
    <t xml:space="preserve">C9 6/26/24 14:00 </t>
  </si>
  <si>
    <t xml:space="preserve">C10 6/26/24 14:00 </t>
  </si>
  <si>
    <t xml:space="preserve">C11 6/26/24 14:00 </t>
  </si>
  <si>
    <t xml:space="preserve">C12 6/26/24 14:00 </t>
  </si>
  <si>
    <t xml:space="preserve">C13 6/26/24 14:00 </t>
  </si>
  <si>
    <t xml:space="preserve">C14 6/26/24 14:00 </t>
  </si>
  <si>
    <t xml:space="preserve">C15 6/26/24 14:00 </t>
  </si>
  <si>
    <t xml:space="preserve">C16 6/26/24 14:00 </t>
  </si>
  <si>
    <t xml:space="preserve">T1 6/11/24 21:00 </t>
  </si>
  <si>
    <t xml:space="preserve">T2 6/11/24 21:00 </t>
  </si>
  <si>
    <t xml:space="preserve">T3 6/11/24 21:00 </t>
  </si>
  <si>
    <t xml:space="preserve">T4 6/11/24 21:00 </t>
  </si>
  <si>
    <t xml:space="preserve">T5 6/11/24 21:00 </t>
  </si>
  <si>
    <t xml:space="preserve">T6 6/11/24 21:00 </t>
  </si>
  <si>
    <t xml:space="preserve">T7 6/11/24 21:00 </t>
  </si>
  <si>
    <t xml:space="preserve">T8 6/11/24 21:00 </t>
  </si>
  <si>
    <t xml:space="preserve">T9 6/11/24 21:00 </t>
  </si>
  <si>
    <t xml:space="preserve">T10 6/11/24 21:00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</si>
</sst>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u/>
      <sz val="10"/>
      <name val="Verdana"/>
      <family val="2"/>
    </font>
    <font>
      <b/>
      <sz val="10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1" xfId="0" applyFont="1" applyBorder="1"/>
    <xf numFmtId="0" fontId="0" fillId="0" borderId="1" xfId="0" applyBorder="1"/>
    <xf numFmtId="22" fontId="0" fillId="0" borderId="0" xfId="0" applyNumberForma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0" fillId="0" borderId="1" xfId="0" applyBorder="1" applyAlignment="1">
      <alignment horizontal="left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Normal" xfId="0" builtinId="0"/>
    <cellStyle name="Normal 2" xfId="1" xr:uid="{52A5643C-4D13-40E3-871E-2012150912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876300</xdr:colOff>
      <xdr:row>9</xdr:row>
      <xdr:rowOff>171450</xdr:rowOff>
    </xdr:to>
    <xdr:pic>
      <xdr:nvPicPr>
        <xdr:cNvPr id="7" name="Picture 1" descr="slab with text 3.jpg">
          <a:extLst>
            <a:ext uri="{FF2B5EF4-FFF2-40B4-BE49-F238E27FC236}">
              <a16:creationId xmlns:a16="http://schemas.microsoft.com/office/drawing/2014/main" id="{B57E4693-F9D9-45FF-B3DE-3C6CCB33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54" t="6238" r="17834" b="5814"/>
        <a:stretch>
          <a:fillRect/>
        </a:stretch>
      </xdr:blipFill>
      <xdr:spPr bwMode="auto">
        <a:xfrm>
          <a:off x="0" y="0"/>
          <a:ext cx="304800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BBCF-8AA1-4C61-9CB0-F1552C5D92F2}">
  <dimension ref="A1:G154"/>
  <sheetViews>
    <sheetView tabSelected="1" zoomScaleNormal="100" workbookViewId="0">
      <selection activeCell="M28" sqref="M28"/>
    </sheetView>
  </sheetViews>
  <sheetFormatPr defaultRowHeight="15" x14ac:dyDescent="0.25"/>
  <cols>
    <col min="1" max="1" width="32.5703125" bestFit="1" customWidth="1"/>
    <col min="2" max="2" width="15.42578125" bestFit="1" customWidth="1"/>
    <col min="3" max="3" width="12.140625" bestFit="1" customWidth="1"/>
    <col min="4" max="4" width="15.28515625" customWidth="1"/>
    <col min="5" max="5" width="32.5703125" bestFit="1" customWidth="1"/>
    <col min="6" max="6" width="20.85546875" customWidth="1"/>
    <col min="7" max="7" width="19.28515625" customWidth="1"/>
    <col min="8" max="8" width="11.85546875" bestFit="1" customWidth="1"/>
  </cols>
  <sheetData>
    <row r="1" spans="1:7" x14ac:dyDescent="0.25">
      <c r="C1" s="8" t="s">
        <v>18</v>
      </c>
    </row>
    <row r="2" spans="1:7" x14ac:dyDescent="0.25">
      <c r="C2" t="s">
        <v>19</v>
      </c>
    </row>
    <row r="3" spans="1:7" x14ac:dyDescent="0.25">
      <c r="C3" t="s">
        <v>20</v>
      </c>
    </row>
    <row r="4" spans="1:7" x14ac:dyDescent="0.25">
      <c r="C4" t="s">
        <v>21</v>
      </c>
    </row>
    <row r="5" spans="1:7" x14ac:dyDescent="0.25">
      <c r="C5" t="s">
        <v>22</v>
      </c>
    </row>
    <row r="6" spans="1:7" x14ac:dyDescent="0.25">
      <c r="C6" t="s">
        <v>23</v>
      </c>
    </row>
    <row r="7" spans="1:7" x14ac:dyDescent="0.25">
      <c r="C7" t="s">
        <v>24</v>
      </c>
    </row>
    <row r="9" spans="1:7" x14ac:dyDescent="0.25">
      <c r="C9" s="8" t="s">
        <v>25</v>
      </c>
      <c r="E9" s="13">
        <v>45560</v>
      </c>
    </row>
    <row r="10" spans="1:7" x14ac:dyDescent="0.25">
      <c r="C10" s="8"/>
    </row>
    <row r="11" spans="1:7" x14ac:dyDescent="0.25">
      <c r="C11" s="8" t="s">
        <v>26</v>
      </c>
      <c r="D11" t="s">
        <v>34</v>
      </c>
      <c r="F11" s="9"/>
    </row>
    <row r="13" spans="1:7" ht="15" customHeight="1" x14ac:dyDescent="0.25">
      <c r="A13" s="5" t="s">
        <v>12</v>
      </c>
      <c r="B13" s="5" t="s">
        <v>13</v>
      </c>
      <c r="C13" s="5" t="s">
        <v>14</v>
      </c>
      <c r="E13" s="5" t="s">
        <v>12</v>
      </c>
      <c r="F13" s="5" t="s">
        <v>15</v>
      </c>
      <c r="G13" s="5" t="s">
        <v>16</v>
      </c>
    </row>
    <row r="14" spans="1:7" x14ac:dyDescent="0.25">
      <c r="A14" s="6" t="str">
        <f>'Run File 09.10.24'!A17</f>
        <v xml:space="preserve">F1 6/6/24 21:00 </v>
      </c>
      <c r="B14" s="16">
        <f>'Run File 09.10.24'!B17</f>
        <v>5.424266666666667</v>
      </c>
      <c r="C14" s="16">
        <f>'Run File 09.10.24'!C17</f>
        <v>0.18252499999999999</v>
      </c>
      <c r="E14" s="11" t="str">
        <f>A14</f>
        <v xml:space="preserve">F1 6/6/24 21:00 </v>
      </c>
      <c r="F14" s="12">
        <f>B14/12.0107*1000</f>
        <v>451.61952814296149</v>
      </c>
      <c r="G14" s="12">
        <f>C14/14.0067*1000</f>
        <v>13.031263609558282</v>
      </c>
    </row>
    <row r="15" spans="1:7" x14ac:dyDescent="0.25">
      <c r="A15" s="6" t="str">
        <f>'Run File 09.10.24'!A18</f>
        <v xml:space="preserve">T1 6/6/24 21:00 </v>
      </c>
      <c r="B15" s="16">
        <f>'Run File 09.10.24'!B18</f>
        <v>1.2832666666666666</v>
      </c>
      <c r="C15" s="16">
        <f>'Run File 09.10.24'!C18</f>
        <v>0.16269500000000001</v>
      </c>
      <c r="E15" s="11" t="str">
        <f t="shared" ref="E15:E85" si="0">A15</f>
        <v xml:space="preserve">T1 6/6/24 21:00 </v>
      </c>
      <c r="F15" s="12">
        <f t="shared" ref="F15:F85" si="1">B15/12.0107*1000</f>
        <v>106.84361999439388</v>
      </c>
      <c r="G15" s="12">
        <f t="shared" ref="G15:G85" si="2">C15/14.0067*1000</f>
        <v>11.615512576124283</v>
      </c>
    </row>
    <row r="16" spans="1:7" x14ac:dyDescent="0.25">
      <c r="A16" s="6" t="str">
        <f>'Run File 09.10.24'!A19</f>
        <v xml:space="preserve">T2 6/6/24 21:00 </v>
      </c>
      <c r="B16" s="16">
        <f>'Run File 09.10.24'!B19</f>
        <v>1.3752666666666666</v>
      </c>
      <c r="C16" s="16">
        <f>'Run File 09.10.24'!C19</f>
        <v>0.15121500000000002</v>
      </c>
      <c r="E16" s="11" t="str">
        <f t="shared" si="0"/>
        <v xml:space="preserve">T2 6/6/24 21:00 </v>
      </c>
      <c r="F16" s="12">
        <f t="shared" si="1"/>
        <v>114.5034566400515</v>
      </c>
      <c r="G16" s="12">
        <f t="shared" si="2"/>
        <v>10.795904816980446</v>
      </c>
    </row>
    <row r="17" spans="1:7" x14ac:dyDescent="0.25">
      <c r="A17" s="6" t="str">
        <f>'Run File 09.10.24'!A20</f>
        <v xml:space="preserve">T3 6/6/24 21:00 </v>
      </c>
      <c r="B17" s="16">
        <f>'Run File 09.10.24'!B20</f>
        <v>1.4882666666666666</v>
      </c>
      <c r="C17" s="16">
        <f>'Run File 09.10.24'!C20</f>
        <v>0.16572500000000001</v>
      </c>
      <c r="E17" s="11" t="str">
        <f t="shared" si="0"/>
        <v xml:space="preserve">T3 6/6/24 21:00 </v>
      </c>
      <c r="F17" s="12">
        <f t="shared" si="1"/>
        <v>123.91173425917445</v>
      </c>
      <c r="G17" s="12">
        <f t="shared" si="2"/>
        <v>11.831837620567301</v>
      </c>
    </row>
    <row r="18" spans="1:7" x14ac:dyDescent="0.25">
      <c r="A18" s="6" t="str">
        <f>'Run File 09.10.24'!A21</f>
        <v xml:space="preserve">T4 6/6/24 21:00 </v>
      </c>
      <c r="B18" s="16">
        <f>'Run File 09.10.24'!B21</f>
        <v>1.2792666666666666</v>
      </c>
      <c r="C18" s="16">
        <f>'Run File 09.10.24'!C21</f>
        <v>0.17052500000000001</v>
      </c>
      <c r="E18" s="11" t="str">
        <f t="shared" si="0"/>
        <v xml:space="preserve">T4 6/6/24 21:00 </v>
      </c>
      <c r="F18" s="12">
        <f t="shared" si="1"/>
        <v>106.51058361849572</v>
      </c>
      <c r="G18" s="12">
        <f t="shared" si="2"/>
        <v>12.174530760279008</v>
      </c>
    </row>
    <row r="19" spans="1:7" x14ac:dyDescent="0.25">
      <c r="A19" s="6" t="str">
        <f>'Run File 09.10.24'!A22</f>
        <v xml:space="preserve">T5 6/6/24 21:00 </v>
      </c>
      <c r="B19" s="16">
        <f>'Run File 09.10.24'!B22</f>
        <v>1.2342666666666666</v>
      </c>
      <c r="C19" s="16">
        <f>'Run File 09.10.24'!C22</f>
        <v>0.15563500000000002</v>
      </c>
      <c r="E19" s="11" t="str">
        <f t="shared" si="0"/>
        <v xml:space="preserve">T5 6/6/24 21:00 </v>
      </c>
      <c r="F19" s="12">
        <f t="shared" si="1"/>
        <v>102.76392438964145</v>
      </c>
      <c r="G19" s="12">
        <f t="shared" si="2"/>
        <v>11.111468083131644</v>
      </c>
    </row>
    <row r="20" spans="1:7" x14ac:dyDescent="0.25">
      <c r="A20" s="6" t="str">
        <f>'Run File 09.10.24'!A23</f>
        <v xml:space="preserve">T6 6/6/24 21:00 </v>
      </c>
      <c r="B20" s="16">
        <f>'Run File 09.10.24'!B23</f>
        <v>1.0782666666666669</v>
      </c>
      <c r="C20" s="16">
        <f>'Run File 09.10.24'!C23</f>
        <v>0.16802500000000001</v>
      </c>
      <c r="E20" s="11" t="str">
        <f t="shared" si="0"/>
        <v xml:space="preserve">T6 6/6/24 21:00 </v>
      </c>
      <c r="F20" s="12">
        <f t="shared" si="1"/>
        <v>89.775505729613329</v>
      </c>
      <c r="G20" s="12">
        <f t="shared" si="2"/>
        <v>11.996044750012494</v>
      </c>
    </row>
    <row r="21" spans="1:7" x14ac:dyDescent="0.25">
      <c r="A21" s="6" t="str">
        <f>'Run File 09.10.24'!A27</f>
        <v xml:space="preserve">T7 6/6/24 21:00 </v>
      </c>
      <c r="B21" s="16">
        <f>'Run File 09.10.24'!B27</f>
        <v>1.2592666666666665</v>
      </c>
      <c r="C21" s="16">
        <f>'Run File 09.10.24'!C27</f>
        <v>0.18182500000000001</v>
      </c>
      <c r="E21" s="11" t="str">
        <f t="shared" si="0"/>
        <v xml:space="preserve">T7 6/6/24 21:00 </v>
      </c>
      <c r="F21" s="12">
        <f t="shared" si="1"/>
        <v>104.84540173900493</v>
      </c>
      <c r="G21" s="12">
        <f t="shared" si="2"/>
        <v>12.98128752668366</v>
      </c>
    </row>
    <row r="22" spans="1:7" x14ac:dyDescent="0.25">
      <c r="A22" s="6" t="str">
        <f>'Run File 09.10.24'!A28</f>
        <v xml:space="preserve">T8 6/6/24 21:00 </v>
      </c>
      <c r="B22" s="16">
        <f>'Run File 09.10.24'!B28</f>
        <v>1.1412666666666667</v>
      </c>
      <c r="C22" s="16">
        <f>'Run File 09.10.24'!C28</f>
        <v>0.152175</v>
      </c>
      <c r="E22" s="11" t="str">
        <f t="shared" si="0"/>
        <v xml:space="preserve">T8 6/6/24 21:00 </v>
      </c>
      <c r="F22" s="12">
        <f t="shared" si="1"/>
        <v>95.020828650009292</v>
      </c>
      <c r="G22" s="12">
        <f t="shared" si="2"/>
        <v>10.864443444922788</v>
      </c>
    </row>
    <row r="23" spans="1:7" x14ac:dyDescent="0.25">
      <c r="A23" s="6" t="str">
        <f>'Run File 09.10.24'!A29</f>
        <v xml:space="preserve">T9 6/6/24 21:00 </v>
      </c>
      <c r="B23" s="16">
        <f>'Run File 09.10.24'!B29</f>
        <v>1.6742666666666666</v>
      </c>
      <c r="C23" s="16">
        <f>'Run File 09.10.24'!C29</f>
        <v>0.17072500000000002</v>
      </c>
      <c r="E23" s="11" t="str">
        <f t="shared" si="0"/>
        <v xml:space="preserve">T9 6/6/24 21:00 </v>
      </c>
      <c r="F23" s="12">
        <f t="shared" si="1"/>
        <v>139.39792573843877</v>
      </c>
      <c r="G23" s="12">
        <f t="shared" si="2"/>
        <v>12.188809641100331</v>
      </c>
    </row>
    <row r="24" spans="1:7" x14ac:dyDescent="0.25">
      <c r="A24" s="6" t="str">
        <f>'Run File 09.10.24'!A30</f>
        <v xml:space="preserve">T10 6/6/24 21:00 </v>
      </c>
      <c r="B24" s="16">
        <f>'Run File 09.10.24'!B30</f>
        <v>1.1522666666666668</v>
      </c>
      <c r="C24" s="16">
        <f>'Run File 09.10.24'!C30</f>
        <v>0.18642500000000001</v>
      </c>
      <c r="E24" s="11" t="str">
        <f t="shared" si="0"/>
        <v xml:space="preserve">T10 6/6/24 21:00 </v>
      </c>
      <c r="F24" s="12">
        <f t="shared" si="1"/>
        <v>95.936678683729241</v>
      </c>
      <c r="G24" s="12">
        <f t="shared" si="2"/>
        <v>13.309701785574047</v>
      </c>
    </row>
    <row r="25" spans="1:7" x14ac:dyDescent="0.25">
      <c r="A25" s="6" t="str">
        <f>'Run File 09.10.24'!A31</f>
        <v xml:space="preserve">T11 6/6/24 21:00 </v>
      </c>
      <c r="B25" s="16">
        <f>'Run File 09.10.24'!B31</f>
        <v>1.2762666666666669</v>
      </c>
      <c r="C25" s="16">
        <f>'Run File 09.10.24'!C31</f>
        <v>0.19082500000000002</v>
      </c>
      <c r="E25" s="11" t="str">
        <f t="shared" si="0"/>
        <v xml:space="preserve">T11 6/6/24 21:00 </v>
      </c>
      <c r="F25" s="12">
        <f t="shared" si="1"/>
        <v>106.26080633657213</v>
      </c>
      <c r="G25" s="12">
        <f t="shared" si="2"/>
        <v>13.623837163643115</v>
      </c>
    </row>
    <row r="26" spans="1:7" x14ac:dyDescent="0.25">
      <c r="A26" s="6" t="str">
        <f>'Run File 09.10.24'!A32</f>
        <v xml:space="preserve">T12 6/6/24 21:00 </v>
      </c>
      <c r="B26" s="16">
        <f>'Run File 09.10.24'!B32</f>
        <v>1.1772666666666667</v>
      </c>
      <c r="C26" s="16">
        <f>'Run File 09.10.24'!C32</f>
        <v>0.17062500000000003</v>
      </c>
      <c r="E26" s="11" t="str">
        <f t="shared" si="0"/>
        <v xml:space="preserve">T12 6/6/24 21:00 </v>
      </c>
      <c r="F26" s="12">
        <f t="shared" si="1"/>
        <v>98.018156033092723</v>
      </c>
      <c r="G26" s="12">
        <f t="shared" si="2"/>
        <v>12.181670200689672</v>
      </c>
    </row>
    <row r="27" spans="1:7" x14ac:dyDescent="0.25">
      <c r="A27" s="6" t="str">
        <f>'Run File 09.10.24'!A33</f>
        <v xml:space="preserve">T13 6/6/24 21:00 </v>
      </c>
      <c r="B27" s="16">
        <f>'Run File 09.10.24'!B33</f>
        <v>1.1242666666666667</v>
      </c>
      <c r="C27" s="16">
        <f>'Run File 09.10.24'!C33</f>
        <v>0.16331500000000002</v>
      </c>
      <c r="E27" s="11" t="str">
        <f t="shared" si="0"/>
        <v xml:space="preserve">T13 6/6/24 21:00 </v>
      </c>
      <c r="F27" s="12">
        <f t="shared" si="1"/>
        <v>93.605424052442146</v>
      </c>
      <c r="G27" s="12">
        <f t="shared" si="2"/>
        <v>11.659777106670381</v>
      </c>
    </row>
    <row r="28" spans="1:7" x14ac:dyDescent="0.25">
      <c r="A28" s="6" t="str">
        <f>'Run File 09.10.24'!A34</f>
        <v xml:space="preserve">T14 6/6/24 21:00 </v>
      </c>
      <c r="B28" s="16">
        <f>'Run File 09.10.24'!B34</f>
        <v>1.1392666666666669</v>
      </c>
      <c r="C28" s="16">
        <f>'Run File 09.10.24'!C34</f>
        <v>0.14991500000000002</v>
      </c>
      <c r="E28" s="11" t="str">
        <f t="shared" si="0"/>
        <v xml:space="preserve">T14 6/6/24 21:00 </v>
      </c>
      <c r="F28" s="12">
        <f t="shared" si="1"/>
        <v>94.854310462060241</v>
      </c>
      <c r="G28" s="12">
        <f t="shared" si="2"/>
        <v>10.703092091641858</v>
      </c>
    </row>
    <row r="29" spans="1:7" x14ac:dyDescent="0.25">
      <c r="A29" s="6" t="str">
        <f>'Run File 09.10.24'!A35</f>
        <v xml:space="preserve">T15 6/6/24 21:00 </v>
      </c>
      <c r="B29" s="16">
        <f>'Run File 09.10.24'!B35</f>
        <v>1.2302666666666666</v>
      </c>
      <c r="C29" s="16">
        <f>'Run File 09.10.24'!C35</f>
        <v>0.28012500000000001</v>
      </c>
      <c r="E29" s="11" t="str">
        <f t="shared" si="0"/>
        <v xml:space="preserve">T15 6/6/24 21:00 </v>
      </c>
      <c r="F29" s="12">
        <f t="shared" si="1"/>
        <v>102.4308880137433</v>
      </c>
      <c r="G29" s="12">
        <f t="shared" si="2"/>
        <v>19.999357450363039</v>
      </c>
    </row>
    <row r="30" spans="1:7" x14ac:dyDescent="0.25">
      <c r="A30" s="6" t="str">
        <f>'Run File 09.10.24'!A36</f>
        <v xml:space="preserve">T16 6/6/24 21:00 </v>
      </c>
      <c r="B30" s="16">
        <f>'Run File 09.10.24'!B36</f>
        <v>1.114266666666667</v>
      </c>
      <c r="C30" s="16">
        <f>'Run File 09.10.24'!C36</f>
        <v>0.16031500000000001</v>
      </c>
      <c r="E30" s="11" t="str">
        <f t="shared" si="0"/>
        <v xml:space="preserve">T16 6/6/24 21:00 </v>
      </c>
      <c r="F30" s="12">
        <f t="shared" si="1"/>
        <v>92.772833112696759</v>
      </c>
      <c r="G30" s="12">
        <f t="shared" si="2"/>
        <v>11.44559389435056</v>
      </c>
    </row>
    <row r="31" spans="1:7" x14ac:dyDescent="0.25">
      <c r="A31" s="6" t="str">
        <f>'Run File 09.10.24'!A40</f>
        <v xml:space="preserve">F1 6/11/24 12:00 </v>
      </c>
      <c r="B31" s="16">
        <f>'Run File 09.10.24'!B40</f>
        <v>4.3752666666666666</v>
      </c>
      <c r="C31" s="16">
        <f>'Run File 09.10.24'!C40</f>
        <v>0.16892499999999999</v>
      </c>
      <c r="E31" s="11" t="str">
        <f t="shared" si="0"/>
        <v xml:space="preserve">F1 6/11/24 12:00 </v>
      </c>
      <c r="F31" s="12">
        <f t="shared" si="1"/>
        <v>364.28073856366962</v>
      </c>
      <c r="G31" s="12">
        <f t="shared" si="2"/>
        <v>12.060299713708439</v>
      </c>
    </row>
    <row r="32" spans="1:7" x14ac:dyDescent="0.25">
      <c r="A32" s="6" t="str">
        <f>'Run File 09.10.24'!A41</f>
        <v xml:space="preserve">F2 6/11/24 12:00 </v>
      </c>
      <c r="B32" s="16">
        <f>'Run File 09.10.24'!B41</f>
        <v>1.0002666666666666</v>
      </c>
      <c r="C32" s="16">
        <f>'Run File 09.10.24'!C41</f>
        <v>0.15277499999999999</v>
      </c>
      <c r="E32" s="11" t="str">
        <f t="shared" si="0"/>
        <v xml:space="preserve">F2 6/11/24 12:00 </v>
      </c>
      <c r="F32" s="12">
        <f t="shared" si="1"/>
        <v>83.281296399599242</v>
      </c>
      <c r="G32" s="12">
        <f t="shared" si="2"/>
        <v>10.90728008738675</v>
      </c>
    </row>
    <row r="33" spans="1:7" x14ac:dyDescent="0.25">
      <c r="A33" s="6" t="str">
        <f>'Run File 09.10.24'!A42</f>
        <v xml:space="preserve">T1 6/11/24 12:00 </v>
      </c>
      <c r="B33" s="16">
        <f>'Run File 09.10.24'!B42</f>
        <v>3.5862666666666665</v>
      </c>
      <c r="C33" s="16">
        <f>'Run File 09.10.24'!C42</f>
        <v>0.202125</v>
      </c>
      <c r="E33" s="11" t="str">
        <f t="shared" si="0"/>
        <v xml:space="preserve">T1 6/11/24 12:00 </v>
      </c>
      <c r="F33" s="12">
        <f t="shared" si="1"/>
        <v>298.58931341775804</v>
      </c>
      <c r="G33" s="12">
        <f t="shared" si="2"/>
        <v>14.430593930047763</v>
      </c>
    </row>
    <row r="34" spans="1:7" x14ac:dyDescent="0.25">
      <c r="A34" s="6" t="str">
        <f>'Run File 09.10.24'!A43</f>
        <v xml:space="preserve">T2 6/11/24 12:00 </v>
      </c>
      <c r="B34" s="16">
        <f>'Run File 09.10.24'!B43</f>
        <v>3.9932666666666665</v>
      </c>
      <c r="C34" s="16">
        <f>'Run File 09.10.24'!C43</f>
        <v>0.16214500000000001</v>
      </c>
      <c r="E34" s="11" t="str">
        <f t="shared" si="0"/>
        <v xml:space="preserve">T2 6/11/24 12:00 </v>
      </c>
      <c r="F34" s="12">
        <f t="shared" si="1"/>
        <v>332.47576466539556</v>
      </c>
      <c r="G34" s="12">
        <f t="shared" si="2"/>
        <v>11.57624565386565</v>
      </c>
    </row>
    <row r="35" spans="1:7" x14ac:dyDescent="0.25">
      <c r="A35" s="6" t="str">
        <f>'Run File 09.10.24'!A44</f>
        <v xml:space="preserve">T3 6/11/24 12:00 </v>
      </c>
      <c r="B35" s="16">
        <f>'Run File 09.10.24'!B44</f>
        <v>1.0092666666666665</v>
      </c>
      <c r="C35" s="16">
        <f>'Run File 09.10.24'!C44</f>
        <v>0.17612500000000003</v>
      </c>
      <c r="E35" s="11" t="str">
        <f t="shared" si="0"/>
        <v xml:space="preserve">T3 6/11/24 12:00 </v>
      </c>
      <c r="F35" s="12">
        <f t="shared" si="1"/>
        <v>84.030628245370096</v>
      </c>
      <c r="G35" s="12">
        <f t="shared" si="2"/>
        <v>12.574339423276005</v>
      </c>
    </row>
    <row r="36" spans="1:7" x14ac:dyDescent="0.25">
      <c r="A36" s="6" t="str">
        <f>'Run File 09.10.24'!A45</f>
        <v xml:space="preserve">T4 6/11/24 12:00 </v>
      </c>
      <c r="B36" s="16">
        <f>'Run File 09.10.24'!B45</f>
        <v>3.5312666666666668</v>
      </c>
      <c r="C36" s="16">
        <f>'Run File 09.10.24'!C45</f>
        <v>0.16307500000000003</v>
      </c>
      <c r="E36" s="11" t="str">
        <f t="shared" si="0"/>
        <v xml:space="preserve">T4 6/11/24 12:00 </v>
      </c>
      <c r="F36" s="12">
        <f t="shared" si="1"/>
        <v>294.01006324915841</v>
      </c>
      <c r="G36" s="12">
        <f t="shared" si="2"/>
        <v>11.642642449684795</v>
      </c>
    </row>
    <row r="37" spans="1:7" x14ac:dyDescent="0.25">
      <c r="A37" s="6" t="str">
        <f>'Run File 09.10.24'!A46</f>
        <v xml:space="preserve">T5 6/11/24 12:00 </v>
      </c>
      <c r="B37" s="16">
        <f>'Run File 09.10.24'!B46</f>
        <v>1.7662666666666667</v>
      </c>
      <c r="C37" s="16">
        <f>'Run File 09.10.24'!C46</f>
        <v>0.31162500000000004</v>
      </c>
      <c r="E37" s="11" t="str">
        <f t="shared" si="0"/>
        <v xml:space="preserve">T5 6/11/24 12:00 </v>
      </c>
      <c r="F37" s="12">
        <f t="shared" si="1"/>
        <v>147.05776238409641</v>
      </c>
      <c r="G37" s="12">
        <f t="shared" si="2"/>
        <v>22.248281179721136</v>
      </c>
    </row>
    <row r="38" spans="1:7" x14ac:dyDescent="0.25">
      <c r="A38" s="6" t="str">
        <f>'Run File 09.10.24'!A47</f>
        <v xml:space="preserve">T6 6/11/24 12:00 </v>
      </c>
      <c r="B38" s="16">
        <f>'Run File 09.10.24'!B47</f>
        <v>1.5542666666666669</v>
      </c>
      <c r="C38" s="16">
        <f>'Run File 09.10.24'!C47</f>
        <v>0.32782500000000003</v>
      </c>
      <c r="E38" s="11" t="str">
        <f t="shared" si="0"/>
        <v xml:space="preserve">T6 6/11/24 12:00 </v>
      </c>
      <c r="F38" s="12">
        <f t="shared" si="1"/>
        <v>129.4068344614941</v>
      </c>
      <c r="G38" s="12">
        <f t="shared" si="2"/>
        <v>23.404870526248153</v>
      </c>
    </row>
    <row r="39" spans="1:7" x14ac:dyDescent="0.25">
      <c r="A39" s="6" t="str">
        <f>'Run File 09.10.24'!A48</f>
        <v xml:space="preserve">T7 6/11/24 12:00 </v>
      </c>
      <c r="B39" s="16">
        <f>'Run File 09.10.24'!B48</f>
        <v>1.4202666666666666</v>
      </c>
      <c r="C39" s="16">
        <f>'Run File 09.10.24'!C48</f>
        <v>0.32842500000000002</v>
      </c>
      <c r="E39" s="11" t="str">
        <f t="shared" si="0"/>
        <v xml:space="preserve">T7 6/11/24 12:00 </v>
      </c>
      <c r="F39" s="12">
        <f t="shared" si="1"/>
        <v>118.25011586890577</v>
      </c>
      <c r="G39" s="12">
        <f t="shared" si="2"/>
        <v>23.447707168712117</v>
      </c>
    </row>
    <row r="40" spans="1:7" x14ac:dyDescent="0.25">
      <c r="A40" s="6" t="str">
        <f>'Run File 09.10.24'!A49</f>
        <v xml:space="preserve">T8 6/11/24 12:00 </v>
      </c>
      <c r="B40" s="16">
        <f>'Run File 09.10.24'!B49</f>
        <v>1.6752666666666669</v>
      </c>
      <c r="C40" s="16">
        <f>'Run File 09.10.24'!C49</f>
        <v>0.39402500000000001</v>
      </c>
      <c r="E40" s="11" t="str">
        <f t="shared" si="0"/>
        <v xml:space="preserve">T8 6/11/24 12:00 </v>
      </c>
      <c r="F40" s="12">
        <f t="shared" si="1"/>
        <v>139.48118483241333</v>
      </c>
      <c r="G40" s="12">
        <f t="shared" si="2"/>
        <v>28.13118007810548</v>
      </c>
    </row>
    <row r="41" spans="1:7" x14ac:dyDescent="0.25">
      <c r="A41" s="6" t="str">
        <f>'Run File 09.10.24'!A53</f>
        <v xml:space="preserve">T9 6/11/24 12:00 </v>
      </c>
      <c r="B41" s="16">
        <f>'Run File 09.10.24'!B53</f>
        <v>2.3132666666666668</v>
      </c>
      <c r="C41" s="16">
        <f>'Run File 09.10.24'!C53</f>
        <v>0.43082500000000001</v>
      </c>
      <c r="E41" s="11" t="str">
        <f t="shared" si="0"/>
        <v xml:space="preserve">T9 6/11/24 12:00 </v>
      </c>
      <c r="F41" s="12">
        <f t="shared" si="1"/>
        <v>192.60048678816946</v>
      </c>
      <c r="G41" s="12">
        <f t="shared" si="2"/>
        <v>30.758494149228586</v>
      </c>
    </row>
    <row r="42" spans="1:7" x14ac:dyDescent="0.25">
      <c r="A42" s="6" t="str">
        <f>'Run File 09.10.24'!A54</f>
        <v xml:space="preserve">T10 6/11/24 12:00 </v>
      </c>
      <c r="B42" s="16">
        <f>'Run File 09.10.24'!B54</f>
        <v>1.5602666666666667</v>
      </c>
      <c r="C42" s="16">
        <f>'Run File 09.10.24'!C54</f>
        <v>0.30312499999999998</v>
      </c>
      <c r="E42" s="11" t="str">
        <f t="shared" si="0"/>
        <v xml:space="preserve">T10 6/11/24 12:00 </v>
      </c>
      <c r="F42" s="12">
        <f t="shared" si="1"/>
        <v>129.9063890253413</v>
      </c>
      <c r="G42" s="12">
        <f t="shared" si="2"/>
        <v>21.641428744814977</v>
      </c>
    </row>
    <row r="43" spans="1:7" x14ac:dyDescent="0.25">
      <c r="A43" s="6" t="str">
        <f>'Run File 09.10.24'!A55</f>
        <v xml:space="preserve">T11 6/11/24 12:00 </v>
      </c>
      <c r="B43" s="16">
        <f>'Run File 09.10.24'!B55</f>
        <v>2.3832666666666666</v>
      </c>
      <c r="C43" s="16">
        <f>'Run File 09.10.24'!C55</f>
        <v>0.31782500000000002</v>
      </c>
      <c r="E43" s="11" t="str">
        <f t="shared" si="0"/>
        <v xml:space="preserve">T11 6/11/24 12:00 </v>
      </c>
      <c r="F43" s="12">
        <f t="shared" si="1"/>
        <v>198.4286233663872</v>
      </c>
      <c r="G43" s="12">
        <f t="shared" si="2"/>
        <v>22.690926485182093</v>
      </c>
    </row>
    <row r="44" spans="1:7" x14ac:dyDescent="0.25">
      <c r="A44" s="6" t="str">
        <f>'Run File 09.10.24'!A56</f>
        <v xml:space="preserve">T12 6/11/24 12:00 </v>
      </c>
      <c r="B44" s="16">
        <f>'Run File 09.10.24'!B56</f>
        <v>1.4372666666666669</v>
      </c>
      <c r="C44" s="16">
        <f>'Run File 09.10.24'!C56</f>
        <v>0.26252500000000001</v>
      </c>
      <c r="E44" s="11" t="str">
        <f t="shared" si="0"/>
        <v xml:space="preserve">T12 6/11/24 12:00 </v>
      </c>
      <c r="F44" s="12">
        <f t="shared" si="1"/>
        <v>119.66552046647297</v>
      </c>
      <c r="G44" s="12">
        <f t="shared" si="2"/>
        <v>18.742815938086775</v>
      </c>
    </row>
    <row r="45" spans="1:7" x14ac:dyDescent="0.25">
      <c r="A45" s="6" t="str">
        <f>'Run File 09.10.24'!A57</f>
        <v xml:space="preserve">T13 6/11/24 12:00 </v>
      </c>
      <c r="B45" s="16">
        <f>'Run File 09.10.24'!B57</f>
        <v>1.4792666666666667</v>
      </c>
      <c r="C45" s="16">
        <f>'Run File 09.10.24'!C57</f>
        <v>0.26282499999999998</v>
      </c>
      <c r="E45" s="11" t="str">
        <f t="shared" si="0"/>
        <v xml:space="preserve">T13 6/11/24 12:00 </v>
      </c>
      <c r="F45" s="12">
        <f t="shared" si="1"/>
        <v>123.16240241340361</v>
      </c>
      <c r="G45" s="12">
        <f t="shared" si="2"/>
        <v>18.764234259318751</v>
      </c>
    </row>
    <row r="46" spans="1:7" x14ac:dyDescent="0.25">
      <c r="A46" s="6" t="str">
        <f>'Run File 09.10.24'!A58</f>
        <v xml:space="preserve">T14 6/11/24 12:00 </v>
      </c>
      <c r="B46" s="16">
        <f>'Run File 09.10.24'!B58</f>
        <v>2.0622666666666665</v>
      </c>
      <c r="C46" s="16">
        <f>'Run File 09.10.24'!C58</f>
        <v>0.33472499999999999</v>
      </c>
      <c r="E46" s="11" t="str">
        <f t="shared" si="0"/>
        <v xml:space="preserve">T14 6/11/24 12:00 </v>
      </c>
      <c r="F46" s="12">
        <f t="shared" si="1"/>
        <v>171.70245420056006</v>
      </c>
      <c r="G46" s="12">
        <f t="shared" si="2"/>
        <v>23.897491914583735</v>
      </c>
    </row>
    <row r="47" spans="1:7" x14ac:dyDescent="0.25">
      <c r="A47" s="6" t="str">
        <f>'Run File 09.10.24'!A59</f>
        <v xml:space="preserve">T15 6/11/24 12:00 </v>
      </c>
      <c r="B47" s="16">
        <f>'Run File 09.10.24'!B59</f>
        <v>1.2462666666666666</v>
      </c>
      <c r="C47" s="16">
        <f>'Run File 09.10.24'!C59</f>
        <v>0.25282500000000002</v>
      </c>
      <c r="E47" s="11" t="str">
        <f t="shared" si="0"/>
        <v xml:space="preserve">T15 6/11/24 12:00 </v>
      </c>
      <c r="F47" s="12">
        <f t="shared" si="1"/>
        <v>103.76303351733593</v>
      </c>
      <c r="G47" s="12">
        <f t="shared" si="2"/>
        <v>18.050290218252695</v>
      </c>
    </row>
    <row r="48" spans="1:7" x14ac:dyDescent="0.25">
      <c r="A48" s="6" t="str">
        <f>'Run File 09.10.24'!A60</f>
        <v xml:space="preserve">T16 6/11/24 12:00 </v>
      </c>
      <c r="B48" s="16">
        <f>'Run File 09.10.24'!B60</f>
        <v>1.3072666666666666</v>
      </c>
      <c r="C48" s="16">
        <f>'Run File 09.10.24'!C60</f>
        <v>0.26372499999999999</v>
      </c>
      <c r="E48" s="11" t="str">
        <f t="shared" si="0"/>
        <v xml:space="preserve">T16 6/11/24 12:00 </v>
      </c>
      <c r="F48" s="12">
        <f t="shared" si="1"/>
        <v>108.84183824978282</v>
      </c>
      <c r="G48" s="12">
        <f t="shared" si="2"/>
        <v>18.828489223014696</v>
      </c>
    </row>
    <row r="49" spans="1:7" x14ac:dyDescent="0.25">
      <c r="A49" s="6" t="str">
        <f>'Run File 09.10.24'!A61</f>
        <v xml:space="preserve">F1 6/11/24 21:00 </v>
      </c>
      <c r="B49" s="16">
        <f>'Run File 09.10.24'!B61</f>
        <v>1.0652666666666666</v>
      </c>
      <c r="C49" s="16">
        <f>'Run File 09.10.24'!C61</f>
        <v>0.40962500000000002</v>
      </c>
      <c r="E49" s="11" t="str">
        <f t="shared" si="0"/>
        <v xml:space="preserve">F1 6/11/24 21:00 </v>
      </c>
      <c r="F49" s="12">
        <f t="shared" si="1"/>
        <v>88.6931375079443</v>
      </c>
      <c r="G49" s="12">
        <f t="shared" si="2"/>
        <v>29.244932782168533</v>
      </c>
    </row>
    <row r="50" spans="1:7" x14ac:dyDescent="0.25">
      <c r="A50" s="6" t="str">
        <f>'Run File 09.10.24'!A62</f>
        <v xml:space="preserve">F2 6/11/24 21:00 </v>
      </c>
      <c r="B50" s="16">
        <f>'Run File 09.10.24'!B62</f>
        <v>1.3122666666666669</v>
      </c>
      <c r="C50" s="16">
        <f>'Run File 09.10.24'!C62</f>
        <v>0.42232500000000001</v>
      </c>
      <c r="E50" s="11" t="str">
        <f t="shared" si="0"/>
        <v xml:space="preserve">F2 6/11/24 21:00 </v>
      </c>
      <c r="F50" s="12">
        <f t="shared" si="1"/>
        <v>109.25813371965555</v>
      </c>
      <c r="G50" s="12">
        <f t="shared" si="2"/>
        <v>30.15164171432243</v>
      </c>
    </row>
    <row r="51" spans="1:7" x14ac:dyDescent="0.25">
      <c r="A51" s="6" t="str">
        <f>'Run File 09.10.24'!A66</f>
        <v xml:space="preserve">T1 6/11/24 21:00 </v>
      </c>
      <c r="B51" s="16">
        <f>'Run File 09.10.24'!B66</f>
        <v>1.3112666666666666</v>
      </c>
      <c r="C51" s="16">
        <f>'Run File 09.10.24'!C66</f>
        <v>0.41892499999999999</v>
      </c>
      <c r="E51" s="11" t="str">
        <f t="shared" ref="E51:E60" si="3">A51</f>
        <v xml:space="preserve">T1 6/11/24 21:00 </v>
      </c>
      <c r="F51" s="12">
        <f t="shared" ref="F51:F60" si="4">B51/12.0107*1000</f>
        <v>109.17487462568099</v>
      </c>
      <c r="G51" s="12">
        <f t="shared" ref="G51:G60" si="5">C51/14.0067*1000</f>
        <v>29.908900740359972</v>
      </c>
    </row>
    <row r="52" spans="1:7" x14ac:dyDescent="0.25">
      <c r="A52" s="6" t="str">
        <f>'Run File 09.10.24'!A67</f>
        <v xml:space="preserve">T2 6/11/24 21:00 </v>
      </c>
      <c r="B52" s="16">
        <f>'Run File 09.10.24'!B67</f>
        <v>4.1832666666666665</v>
      </c>
      <c r="C52" s="16">
        <f>'Run File 09.10.24'!C67</f>
        <v>0.17182500000000001</v>
      </c>
      <c r="E52" s="11" t="str">
        <f t="shared" si="3"/>
        <v xml:space="preserve">T2 6/11/24 21:00 </v>
      </c>
      <c r="F52" s="12">
        <f t="shared" si="4"/>
        <v>348.29499252055808</v>
      </c>
      <c r="G52" s="12">
        <f t="shared" si="5"/>
        <v>12.267343485617598</v>
      </c>
    </row>
    <row r="53" spans="1:7" x14ac:dyDescent="0.25">
      <c r="A53" s="6" t="str">
        <f>'Run File 09.10.24'!A68</f>
        <v xml:space="preserve">T3 6/11/24 21:00 </v>
      </c>
      <c r="B53" s="16">
        <f>'Run File 09.10.24'!B68</f>
        <v>1.7172666666666667</v>
      </c>
      <c r="C53" s="16">
        <f>'Run File 09.10.24'!C68</f>
        <v>0.38452500000000001</v>
      </c>
      <c r="E53" s="11" t="str">
        <f t="shared" si="3"/>
        <v xml:space="preserve">T3 6/11/24 21:00 </v>
      </c>
      <c r="F53" s="12">
        <f t="shared" si="4"/>
        <v>142.97806677934398</v>
      </c>
      <c r="G53" s="12">
        <f t="shared" si="5"/>
        <v>27.452933239092719</v>
      </c>
    </row>
    <row r="54" spans="1:7" x14ac:dyDescent="0.25">
      <c r="A54" s="6" t="str">
        <f>'Run File 09.10.24'!A69</f>
        <v xml:space="preserve">T4 6/11/24 21:00 </v>
      </c>
      <c r="B54" s="16">
        <f>'Run File 09.10.24'!B69</f>
        <v>1.6502666666666665</v>
      </c>
      <c r="C54" s="16">
        <f>'Run File 09.10.24'!C69</f>
        <v>0.43402499999999999</v>
      </c>
      <c r="E54" s="11" t="str">
        <f t="shared" si="3"/>
        <v xml:space="preserve">T4 6/11/24 21:00 </v>
      </c>
      <c r="F54" s="12">
        <f t="shared" si="4"/>
        <v>137.39970748304984</v>
      </c>
      <c r="G54" s="12">
        <f t="shared" si="5"/>
        <v>30.986956242369722</v>
      </c>
    </row>
    <row r="55" spans="1:7" x14ac:dyDescent="0.25">
      <c r="A55" s="6" t="str">
        <f>'Run File 09.10.24'!A70</f>
        <v xml:space="preserve">T5 6/11/24 21:00 </v>
      </c>
      <c r="B55" s="16">
        <f>'Run File 09.10.24'!B70</f>
        <v>1.2912666666666666</v>
      </c>
      <c r="C55" s="16">
        <f>'Run File 09.10.24'!C70</f>
        <v>0.27222500000000005</v>
      </c>
      <c r="E55" s="11" t="str">
        <f t="shared" si="3"/>
        <v xml:space="preserve">T5 6/11/24 21:00 </v>
      </c>
      <c r="F55" s="12">
        <f t="shared" si="4"/>
        <v>107.5096927461902</v>
      </c>
      <c r="G55" s="12">
        <f t="shared" si="5"/>
        <v>19.435341657920855</v>
      </c>
    </row>
    <row r="56" spans="1:7" x14ac:dyDescent="0.25">
      <c r="A56" s="6" t="str">
        <f>'Run File 09.10.24'!A71</f>
        <v xml:space="preserve">T6 6/11/24 21:00 </v>
      </c>
      <c r="B56" s="16">
        <f>'Run File 09.10.24'!B71</f>
        <v>0.81746666666666679</v>
      </c>
      <c r="C56" s="16">
        <f>'Run File 09.10.24'!C71</f>
        <v>0.16015499999999999</v>
      </c>
      <c r="E56" s="11" t="str">
        <f t="shared" si="3"/>
        <v xml:space="preserve">T6 6/11/24 21:00 </v>
      </c>
      <c r="F56" s="12">
        <f t="shared" si="4"/>
        <v>68.061534021053461</v>
      </c>
      <c r="G56" s="12">
        <f t="shared" si="5"/>
        <v>11.434170789693503</v>
      </c>
    </row>
    <row r="57" spans="1:7" x14ac:dyDescent="0.25">
      <c r="A57" s="6" t="str">
        <f>'Run File 09.10.24'!A72</f>
        <v xml:space="preserve">T7 6/11/24 21:00 </v>
      </c>
      <c r="B57" s="16">
        <f>'Run File 09.10.24'!B72</f>
        <v>1.0812666666666666</v>
      </c>
      <c r="C57" s="16">
        <f>'Run File 09.10.24'!C72</f>
        <v>0.38022500000000004</v>
      </c>
      <c r="E57" s="11" t="str">
        <f t="shared" si="3"/>
        <v xml:space="preserve">T7 6/11/24 21:00 </v>
      </c>
      <c r="F57" s="12">
        <f t="shared" si="4"/>
        <v>90.025283011536942</v>
      </c>
      <c r="G57" s="12">
        <f t="shared" si="5"/>
        <v>27.145937301434316</v>
      </c>
    </row>
    <row r="58" spans="1:7" x14ac:dyDescent="0.25">
      <c r="A58" s="6" t="str">
        <f>'Run File 09.10.24'!A73</f>
        <v xml:space="preserve">T8 6/11/24 21:00 </v>
      </c>
      <c r="B58" s="16">
        <f>'Run File 09.10.24'!B73</f>
        <v>4.2802666666666669</v>
      </c>
      <c r="C58" s="16">
        <f>'Run File 09.10.24'!C73</f>
        <v>0.174925</v>
      </c>
      <c r="E58" s="11" t="str">
        <f t="shared" si="3"/>
        <v xml:space="preserve">T8 6/11/24 21:00 </v>
      </c>
      <c r="F58" s="12">
        <f t="shared" si="4"/>
        <v>356.37112463608838</v>
      </c>
      <c r="G58" s="12">
        <f t="shared" si="5"/>
        <v>12.488666138348075</v>
      </c>
    </row>
    <row r="59" spans="1:7" x14ac:dyDescent="0.25">
      <c r="A59" s="6" t="str">
        <f>'Run File 09.10.24'!A74</f>
        <v xml:space="preserve">T9 6/11/24 21:00 </v>
      </c>
      <c r="B59" s="16">
        <f>'Run File 09.10.24'!B74</f>
        <v>0.94156666666666677</v>
      </c>
      <c r="C59" s="16">
        <f>'Run File 09.10.24'!C74</f>
        <v>0.22802500000000001</v>
      </c>
      <c r="E59" s="11" t="str">
        <f t="shared" si="3"/>
        <v xml:space="preserve">T9 6/11/24 21:00 </v>
      </c>
      <c r="F59" s="12">
        <f t="shared" si="4"/>
        <v>78.393987583293807</v>
      </c>
      <c r="G59" s="12">
        <f t="shared" si="5"/>
        <v>16.279708996408861</v>
      </c>
    </row>
    <row r="60" spans="1:7" x14ac:dyDescent="0.25">
      <c r="A60" s="6" t="str">
        <f>'Run File 09.10.24'!A75</f>
        <v xml:space="preserve">T10 6/11/24 21:00 </v>
      </c>
      <c r="B60" s="16">
        <f>'Run File 09.10.24'!B75</f>
        <v>0.9060666666666668</v>
      </c>
      <c r="C60" s="16">
        <f>'Run File 09.10.24'!C75</f>
        <v>0.19482500000000003</v>
      </c>
      <c r="E60" s="11" t="str">
        <f t="shared" si="3"/>
        <v xml:space="preserve">T10 6/11/24 21:00 </v>
      </c>
      <c r="F60" s="12">
        <f t="shared" si="4"/>
        <v>75.438289747197643</v>
      </c>
      <c r="G60" s="12">
        <f t="shared" si="5"/>
        <v>13.90941478006954</v>
      </c>
    </row>
    <row r="61" spans="1:7" x14ac:dyDescent="0.25">
      <c r="A61" s="6" t="str">
        <f>'Run File 10.15.24'!A17</f>
        <v xml:space="preserve">T11 6/11/24 21:00 </v>
      </c>
      <c r="B61" s="16">
        <f>'Run File 10.15.24'!B17</f>
        <v>2.4466083333333337</v>
      </c>
      <c r="C61" s="16">
        <f>'Run File 10.15.24'!C17</f>
        <v>0.46157499999999996</v>
      </c>
      <c r="E61" s="11" t="str">
        <f t="shared" si="0"/>
        <v xml:space="preserve">T11 6/11/24 21:00 </v>
      </c>
      <c r="F61" s="12">
        <f t="shared" si="1"/>
        <v>203.70239314389119</v>
      </c>
      <c r="G61" s="12">
        <f t="shared" si="2"/>
        <v>32.953872075506723</v>
      </c>
    </row>
    <row r="62" spans="1:7" x14ac:dyDescent="0.25">
      <c r="A62" s="6" t="str">
        <f>'Run File 10.15.24'!A18</f>
        <v xml:space="preserve">T12 6/11/24 21:00 </v>
      </c>
      <c r="B62" s="16">
        <f>'Run File 10.15.24'!B18</f>
        <v>1.1326083333333332</v>
      </c>
      <c r="C62" s="16">
        <f>'Run File 10.15.24'!C18</f>
        <v>0.41007499999999997</v>
      </c>
      <c r="E62" s="11" t="str">
        <f t="shared" si="0"/>
        <v xml:space="preserve">T12 6/11/24 21:00 </v>
      </c>
      <c r="F62" s="12">
        <f t="shared" si="1"/>
        <v>94.299943661346404</v>
      </c>
      <c r="G62" s="12">
        <f t="shared" si="2"/>
        <v>29.277060264016505</v>
      </c>
    </row>
    <row r="63" spans="1:7" x14ac:dyDescent="0.25">
      <c r="A63" s="6" t="str">
        <f>'Run File 10.15.24'!A19</f>
        <v xml:space="preserve">T13 6/11/24 21:00 </v>
      </c>
      <c r="B63" s="16">
        <f>'Run File 10.15.24'!B19</f>
        <v>1.6806083333333333</v>
      </c>
      <c r="C63" s="16">
        <f>'Run File 10.15.24'!C19</f>
        <v>0.49017499999999997</v>
      </c>
      <c r="E63" s="11" t="str">
        <f t="shared" si="0"/>
        <v xml:space="preserve">T13 6/11/24 21:00 </v>
      </c>
      <c r="F63" s="12">
        <f t="shared" si="1"/>
        <v>139.92592715939398</v>
      </c>
      <c r="G63" s="12">
        <f t="shared" si="2"/>
        <v>34.995752032955657</v>
      </c>
    </row>
    <row r="64" spans="1:7" x14ac:dyDescent="0.25">
      <c r="A64" s="6" t="str">
        <f>'Run File 10.15.24'!A20</f>
        <v xml:space="preserve">T14 6/11/24 21:00 </v>
      </c>
      <c r="B64" s="16">
        <f>'Run File 10.15.24'!B20</f>
        <v>1.0966083333333332</v>
      </c>
      <c r="C64" s="16">
        <f>'Run File 10.15.24'!C20</f>
        <v>0.463675</v>
      </c>
      <c r="E64" s="11" t="str">
        <f t="shared" si="0"/>
        <v xml:space="preserve">T14 6/11/24 21:00 </v>
      </c>
      <c r="F64" s="12">
        <f t="shared" si="1"/>
        <v>91.302616278262988</v>
      </c>
      <c r="G64" s="12">
        <f t="shared" si="2"/>
        <v>33.103800324130596</v>
      </c>
    </row>
    <row r="65" spans="1:7" x14ac:dyDescent="0.25">
      <c r="A65" s="6" t="str">
        <f>'Run File 10.15.24'!A21</f>
        <v xml:space="preserve">T15 6/11/24 21:00 </v>
      </c>
      <c r="B65" s="16">
        <f>'Run File 10.15.24'!B21</f>
        <v>2.8256083333333337</v>
      </c>
      <c r="C65" s="16">
        <f>'Run File 10.15.24'!C21</f>
        <v>0.44937499999999997</v>
      </c>
      <c r="E65" s="11" t="str">
        <f t="shared" si="0"/>
        <v xml:space="preserve">T15 6/11/24 21:00 </v>
      </c>
      <c r="F65" s="12">
        <f t="shared" si="1"/>
        <v>235.25758976024161</v>
      </c>
      <c r="G65" s="12">
        <f t="shared" si="2"/>
        <v>32.082860345406125</v>
      </c>
    </row>
    <row r="66" spans="1:7" x14ac:dyDescent="0.25">
      <c r="A66" s="6" t="str">
        <f>'Run File 10.15.24'!A22</f>
        <v xml:space="preserve">T16 6/11/24 21:00 </v>
      </c>
      <c r="B66" s="16">
        <f>'Run File 10.15.24'!B22</f>
        <v>1.3186083333333336</v>
      </c>
      <c r="C66" s="16">
        <f>'Run File 10.15.24'!C22</f>
        <v>0.37477499999999997</v>
      </c>
      <c r="E66" s="11" t="str">
        <f t="shared" si="0"/>
        <v xml:space="preserve">T16 6/11/24 21:00 </v>
      </c>
      <c r="F66" s="12">
        <f t="shared" si="1"/>
        <v>109.78613514061075</v>
      </c>
      <c r="G66" s="12">
        <f t="shared" si="2"/>
        <v>26.756837799053308</v>
      </c>
    </row>
    <row r="67" spans="1:7" x14ac:dyDescent="0.25">
      <c r="A67" s="6" t="str">
        <f>'Run File 10.15.24'!A23</f>
        <v>IN_1 6/16/24 12:00</v>
      </c>
      <c r="B67" s="16">
        <f>'Run File 10.15.24'!B23</f>
        <v>1.2816083333333332</v>
      </c>
      <c r="C67" s="16">
        <f>'Run File 10.15.24'!C23</f>
        <v>0.42077499999999995</v>
      </c>
      <c r="E67" s="11" t="str">
        <f t="shared" si="0"/>
        <v>IN_1 6/16/24 12:00</v>
      </c>
      <c r="F67" s="12">
        <f t="shared" si="1"/>
        <v>106.70554866355276</v>
      </c>
      <c r="G67" s="12">
        <f t="shared" si="2"/>
        <v>30.040980387957188</v>
      </c>
    </row>
    <row r="68" spans="1:7" x14ac:dyDescent="0.25">
      <c r="A68" s="6" t="str">
        <f>'Run File 10.15.24'!A24</f>
        <v xml:space="preserve">IN_2 6/16/24 12:00 </v>
      </c>
      <c r="B68" s="16">
        <f>'Run File 10.15.24'!B24</f>
        <v>1.0766083333333336</v>
      </c>
      <c r="C68" s="16">
        <f>'Run File 10.15.24'!C24</f>
        <v>0.37987499999999996</v>
      </c>
      <c r="E68" s="11" t="str">
        <f t="shared" si="0"/>
        <v xml:space="preserve">IN_2 6/16/24 12:00 </v>
      </c>
      <c r="F68" s="12">
        <f t="shared" si="1"/>
        <v>89.637434398772228</v>
      </c>
      <c r="G68" s="12">
        <f t="shared" si="2"/>
        <v>27.120949259996998</v>
      </c>
    </row>
    <row r="69" spans="1:7" x14ac:dyDescent="0.25">
      <c r="A69" s="6" t="str">
        <f>'Run File 10.15.24'!A25</f>
        <v xml:space="preserve">T7 6/16/24 12:00 </v>
      </c>
      <c r="B69" s="16">
        <f>'Run File 10.15.24'!B25</f>
        <v>1.0706083333333334</v>
      </c>
      <c r="C69" s="16">
        <f>'Run File 10.15.24'!C25</f>
        <v>0.345775</v>
      </c>
      <c r="E69" s="11" t="str">
        <f t="shared" si="0"/>
        <v xml:space="preserve">T7 6/16/24 12:00 </v>
      </c>
      <c r="F69" s="12">
        <f t="shared" si="1"/>
        <v>89.137879834924973</v>
      </c>
      <c r="G69" s="12">
        <f t="shared" si="2"/>
        <v>24.686400079961732</v>
      </c>
    </row>
    <row r="70" spans="1:7" x14ac:dyDescent="0.25">
      <c r="A70" s="6" t="str">
        <f>'Run File 10.15.24'!A26</f>
        <v xml:space="preserve">T8 6/16/24 12:00 </v>
      </c>
      <c r="B70" s="16">
        <f>'Run File 10.15.24'!B26</f>
        <v>2.3986083333333337</v>
      </c>
      <c r="C70" s="16">
        <f>'Run File 10.15.24'!C26</f>
        <v>0.53627500000000006</v>
      </c>
      <c r="E70" s="11" t="str">
        <f t="shared" si="0"/>
        <v xml:space="preserve">T8 6/16/24 12:00 </v>
      </c>
      <c r="F70" s="12">
        <f t="shared" si="1"/>
        <v>199.70595663311326</v>
      </c>
      <c r="G70" s="12">
        <f t="shared" si="2"/>
        <v>38.287034062270202</v>
      </c>
    </row>
    <row r="71" spans="1:7" x14ac:dyDescent="0.25">
      <c r="A71" s="6" t="str">
        <f>'Run File 10.15.24'!A30</f>
        <v xml:space="preserve">T9 6/16/24 12:00 </v>
      </c>
      <c r="B71" s="16">
        <f>'Run File 10.15.24'!B30</f>
        <v>1.1606083333333332</v>
      </c>
      <c r="C71" s="16">
        <f>'Run File 10.15.24'!C30</f>
        <v>0.37087499999999995</v>
      </c>
      <c r="E71" s="11" t="str">
        <f t="shared" si="0"/>
        <v xml:space="preserve">T9 6/16/24 12:00 </v>
      </c>
      <c r="F71" s="12">
        <f t="shared" si="1"/>
        <v>96.631198292633499</v>
      </c>
      <c r="G71" s="12">
        <f t="shared" si="2"/>
        <v>26.478399623037543</v>
      </c>
    </row>
    <row r="72" spans="1:7" x14ac:dyDescent="0.25">
      <c r="A72" s="6" t="str">
        <f>'Run File 10.15.24'!A31</f>
        <v xml:space="preserve">T10 6/16/24 12:00 </v>
      </c>
      <c r="B72" s="16">
        <f>'Run File 10.15.24'!B31</f>
        <v>1.0006083333333335</v>
      </c>
      <c r="C72" s="16">
        <f>'Run File 10.15.24'!C31</f>
        <v>0.38637499999999997</v>
      </c>
      <c r="E72" s="11" t="str">
        <f t="shared" si="0"/>
        <v xml:space="preserve">T10 6/16/24 12:00 </v>
      </c>
      <c r="F72" s="12">
        <f t="shared" si="1"/>
        <v>83.309743256707236</v>
      </c>
      <c r="G72" s="12">
        <f t="shared" si="2"/>
        <v>27.585012886689938</v>
      </c>
    </row>
    <row r="73" spans="1:7" x14ac:dyDescent="0.25">
      <c r="A73" s="6" t="str">
        <f>'Run File 10.15.24'!A32</f>
        <v xml:space="preserve">T11 6/16/24 12:00 </v>
      </c>
      <c r="B73" s="16">
        <f>'Run File 10.15.24'!B32</f>
        <v>1.8236083333333335</v>
      </c>
      <c r="C73" s="16">
        <f>'Run File 10.15.24'!C32</f>
        <v>0.30367499999999997</v>
      </c>
      <c r="E73" s="11" t="str">
        <f t="shared" si="0"/>
        <v xml:space="preserve">T11 6/16/24 12:00 </v>
      </c>
      <c r="F73" s="12">
        <f t="shared" si="1"/>
        <v>151.83197759775314</v>
      </c>
      <c r="G73" s="12">
        <f t="shared" si="2"/>
        <v>21.680695667073611</v>
      </c>
    </row>
    <row r="74" spans="1:7" x14ac:dyDescent="0.25">
      <c r="A74" s="6" t="str">
        <f>'Run File 10.15.24'!A33</f>
        <v xml:space="preserve">T12 6/16/24 12:00 </v>
      </c>
      <c r="B74" s="16">
        <f>'Run File 10.15.24'!B33</f>
        <v>1.7096083333333332</v>
      </c>
      <c r="C74" s="16">
        <f>'Run File 10.15.24'!C33</f>
        <v>0.33907499999999996</v>
      </c>
      <c r="E74" s="11" t="str">
        <f t="shared" si="0"/>
        <v xml:space="preserve">T12 6/16/24 12:00 </v>
      </c>
      <c r="F74" s="12">
        <f t="shared" si="1"/>
        <v>142.34044088465561</v>
      </c>
      <c r="G74" s="12">
        <f t="shared" si="2"/>
        <v>24.208057572447469</v>
      </c>
    </row>
    <row r="75" spans="1:7" x14ac:dyDescent="0.25">
      <c r="A75" s="6" t="str">
        <f>'Run File 10.15.24'!A34</f>
        <v xml:space="preserve">T13 6/16/24 12:00 </v>
      </c>
      <c r="B75" s="16">
        <f>'Run File 10.15.24'!B34</f>
        <v>1.1136083333333335</v>
      </c>
      <c r="C75" s="16">
        <f>'Run File 10.15.24'!C34</f>
        <v>0.350275</v>
      </c>
      <c r="E75" s="11" t="str">
        <f t="shared" si="0"/>
        <v xml:space="preserve">T13 6/16/24 12:00 </v>
      </c>
      <c r="F75" s="12">
        <f t="shared" si="1"/>
        <v>92.718020875830177</v>
      </c>
      <c r="G75" s="12">
        <f t="shared" si="2"/>
        <v>25.007674898441461</v>
      </c>
    </row>
    <row r="76" spans="1:7" x14ac:dyDescent="0.25">
      <c r="A76" s="6" t="str">
        <f>'Run File 10.15.24'!A35</f>
        <v xml:space="preserve">T14 6/16/24 12:00 </v>
      </c>
      <c r="B76" s="16">
        <f>'Run File 10.15.24'!B35</f>
        <v>1.1996083333333334</v>
      </c>
      <c r="C76" s="16">
        <f>'Run File 10.15.24'!C35</f>
        <v>0.38197499999999995</v>
      </c>
      <c r="E76" s="11" t="str">
        <f t="shared" si="0"/>
        <v xml:space="preserve">T14 6/16/24 12:00 </v>
      </c>
      <c r="F76" s="12">
        <f t="shared" si="1"/>
        <v>99.878302957640557</v>
      </c>
      <c r="G76" s="12">
        <f t="shared" si="2"/>
        <v>27.27087750862087</v>
      </c>
    </row>
    <row r="77" spans="1:7" x14ac:dyDescent="0.25">
      <c r="A77" s="6" t="str">
        <f>'Run File 10.15.24'!A36</f>
        <v xml:space="preserve">T15 6/16/24 12:00 </v>
      </c>
      <c r="B77" s="16">
        <f>'Run File 10.15.24'!B36</f>
        <v>1.0866083333333334</v>
      </c>
      <c r="C77" s="16">
        <f>'Run File 10.15.24'!C36</f>
        <v>0.41597499999999998</v>
      </c>
      <c r="E77" s="11" t="str">
        <f t="shared" si="0"/>
        <v xml:space="preserve">T15 6/16/24 12:00 </v>
      </c>
      <c r="F77" s="12">
        <f t="shared" si="1"/>
        <v>90.470025338517615</v>
      </c>
      <c r="G77" s="12">
        <f t="shared" si="2"/>
        <v>29.698287248245482</v>
      </c>
    </row>
    <row r="78" spans="1:7" x14ac:dyDescent="0.25">
      <c r="A78" s="6" t="str">
        <f>'Run File 10.15.24'!A37</f>
        <v xml:space="preserve">T16 6/16/24 12:00 </v>
      </c>
      <c r="B78" s="16">
        <f>'Run File 10.15.24'!B37</f>
        <v>1.7796083333333335</v>
      </c>
      <c r="C78" s="16">
        <f>'Run File 10.15.24'!C37</f>
        <v>0.44077499999999997</v>
      </c>
      <c r="E78" s="11" t="str">
        <f t="shared" si="0"/>
        <v xml:space="preserve">T16 6/16/24 12:00 </v>
      </c>
      <c r="F78" s="12">
        <f t="shared" si="1"/>
        <v>148.1685774628734</v>
      </c>
      <c r="G78" s="12">
        <f t="shared" si="2"/>
        <v>31.468868470089312</v>
      </c>
    </row>
    <row r="79" spans="1:7" x14ac:dyDescent="0.25">
      <c r="A79" s="6" t="str">
        <f>'Run File 10.15.24'!A38</f>
        <v>IN_1 6/16/24 21:00</v>
      </c>
      <c r="B79" s="16">
        <f>'Run File 10.15.24'!B38</f>
        <v>0.94000833333333345</v>
      </c>
      <c r="C79" s="16">
        <f>'Run File 10.15.24'!C38</f>
        <v>0.274675</v>
      </c>
      <c r="E79" s="11" t="str">
        <f t="shared" si="0"/>
        <v>IN_1 6/16/24 21:00</v>
      </c>
      <c r="F79" s="12">
        <f t="shared" si="1"/>
        <v>78.264242161850149</v>
      </c>
      <c r="G79" s="12">
        <f t="shared" si="2"/>
        <v>19.610257947982035</v>
      </c>
    </row>
    <row r="80" spans="1:7" x14ac:dyDescent="0.25">
      <c r="A80" s="6" t="str">
        <f>'Run File 10.15.24'!A39</f>
        <v xml:space="preserve">IN_2 6/16/24 21:00 </v>
      </c>
      <c r="B80" s="16">
        <f>'Run File 10.15.24'!B39</f>
        <v>0.92280833333333334</v>
      </c>
      <c r="C80" s="16">
        <f>'Run File 10.15.24'!C39</f>
        <v>0.30167499999999997</v>
      </c>
      <c r="E80" s="11" t="str">
        <f t="shared" si="0"/>
        <v xml:space="preserve">IN_2 6/16/24 21:00 </v>
      </c>
      <c r="F80" s="12">
        <f t="shared" si="1"/>
        <v>76.832185745488061</v>
      </c>
      <c r="G80" s="12">
        <f t="shared" si="2"/>
        <v>21.537906858860399</v>
      </c>
    </row>
    <row r="81" spans="1:7" x14ac:dyDescent="0.25">
      <c r="A81" s="6" t="str">
        <f>'Run File 10.15.24'!A43</f>
        <v xml:space="preserve">T1A 6/16/24 21:00 </v>
      </c>
      <c r="B81" s="16">
        <f>'Run File 10.15.24'!B43</f>
        <v>1.2766083333333333</v>
      </c>
      <c r="C81" s="16">
        <f>'Run File 10.15.24'!C43</f>
        <v>0.35677499999999995</v>
      </c>
      <c r="E81" s="11" t="str">
        <f t="shared" si="0"/>
        <v xml:space="preserve">T1A 6/16/24 21:00 </v>
      </c>
      <c r="F81" s="12">
        <f t="shared" si="1"/>
        <v>106.28925319368008</v>
      </c>
      <c r="G81" s="12">
        <f t="shared" si="2"/>
        <v>25.471738525134395</v>
      </c>
    </row>
    <row r="82" spans="1:7" x14ac:dyDescent="0.25">
      <c r="A82" s="6" t="str">
        <f>'Run File 10.15.24'!A44</f>
        <v xml:space="preserve">T2A 6/16/24 21:00 </v>
      </c>
      <c r="B82" s="16">
        <f>'Run File 10.15.24'!B44</f>
        <v>1.0976083333333335</v>
      </c>
      <c r="C82" s="16">
        <f>'Run File 10.15.24'!C44</f>
        <v>0.31487499999999996</v>
      </c>
      <c r="E82" s="11" t="str">
        <f t="shared" si="0"/>
        <v xml:space="preserve">T2A 6/16/24 21:00 </v>
      </c>
      <c r="F82" s="12">
        <f t="shared" si="1"/>
        <v>91.38587537223755</v>
      </c>
      <c r="G82" s="12">
        <f t="shared" si="2"/>
        <v>22.480312993067599</v>
      </c>
    </row>
    <row r="83" spans="1:7" x14ac:dyDescent="0.25">
      <c r="A83" s="6" t="str">
        <f>'Run File 10.15.24'!A45</f>
        <v xml:space="preserve">T3A 6/16/24 21:00 </v>
      </c>
      <c r="B83" s="16">
        <f>'Run File 10.15.24'!B45</f>
        <v>1.1116083333333333</v>
      </c>
      <c r="C83" s="16">
        <f>'Run File 10.15.24'!C45</f>
        <v>0.309475</v>
      </c>
      <c r="E83" s="11" t="str">
        <f t="shared" si="0"/>
        <v xml:space="preserve">T3A 6/16/24 21:00 </v>
      </c>
      <c r="F83" s="12">
        <f t="shared" si="1"/>
        <v>92.551502687881083</v>
      </c>
      <c r="G83" s="12">
        <f t="shared" si="2"/>
        <v>22.094783210891929</v>
      </c>
    </row>
    <row r="84" spans="1:7" x14ac:dyDescent="0.25">
      <c r="A84" s="6" t="str">
        <f>'Run File 10.15.24'!A46</f>
        <v xml:space="preserve">T4A 6/16/24 21:00 </v>
      </c>
      <c r="B84" s="16">
        <f>'Run File 10.15.24'!B46</f>
        <v>1.2906083333333336</v>
      </c>
      <c r="C84" s="16">
        <f>'Run File 10.15.24'!C46</f>
        <v>0.35447499999999998</v>
      </c>
      <c r="E84" s="11" t="str">
        <f t="shared" si="0"/>
        <v xml:space="preserve">T4A 6/16/24 21:00 </v>
      </c>
      <c r="F84" s="12">
        <f t="shared" si="1"/>
        <v>107.45488050932366</v>
      </c>
      <c r="G84" s="12">
        <f t="shared" si="2"/>
        <v>25.307531395689203</v>
      </c>
    </row>
    <row r="85" spans="1:7" x14ac:dyDescent="0.25">
      <c r="A85" s="6" t="str">
        <f>'Run File 10.15.24'!A47</f>
        <v xml:space="preserve">T5A 6/16/24 21:00 </v>
      </c>
      <c r="B85" s="16">
        <f>'Run File 10.15.24'!B47</f>
        <v>1.1346083333333334</v>
      </c>
      <c r="C85" s="16">
        <f>'Run File 10.15.24'!C47</f>
        <v>0.30097499999999999</v>
      </c>
      <c r="E85" s="11" t="str">
        <f t="shared" si="0"/>
        <v xml:space="preserve">T5A 6/16/24 21:00 </v>
      </c>
      <c r="F85" s="12">
        <f t="shared" si="1"/>
        <v>94.466461849295499</v>
      </c>
      <c r="G85" s="12">
        <f t="shared" si="2"/>
        <v>21.487930775985777</v>
      </c>
    </row>
    <row r="86" spans="1:7" x14ac:dyDescent="0.25">
      <c r="A86" s="6" t="str">
        <f>'Run File 10.15.24'!A48</f>
        <v xml:space="preserve">T6A 6/16/24 21:00 </v>
      </c>
      <c r="B86" s="16">
        <f>'Run File 10.15.24'!B48</f>
        <v>0.89240833333333336</v>
      </c>
      <c r="C86" s="16">
        <f>'Run File 10.15.24'!C48</f>
        <v>0.21817499999999998</v>
      </c>
      <c r="E86" s="11" t="str">
        <f t="shared" ref="E86:E89" si="6">A86</f>
        <v xml:space="preserve">T6A 6/16/24 21:00 </v>
      </c>
      <c r="F86" s="12">
        <f t="shared" ref="F86:F89" si="7">B86/12.0107*1000</f>
        <v>74.301109288662062</v>
      </c>
      <c r="G86" s="12">
        <f t="shared" ref="G86:G89" si="8">C86/14.0067*1000</f>
        <v>15.576474115958789</v>
      </c>
    </row>
    <row r="87" spans="1:7" x14ac:dyDescent="0.25">
      <c r="A87" s="6" t="str">
        <f>'Run File 10.15.24'!A49</f>
        <v xml:space="preserve">T1B 6/16/24 21:00 </v>
      </c>
      <c r="B87" s="16">
        <f>'Run File 10.15.24'!B49</f>
        <v>1.4316083333333336</v>
      </c>
      <c r="C87" s="16">
        <f>'Run File 10.15.24'!C49</f>
        <v>0.22387499999999999</v>
      </c>
      <c r="E87" s="11" t="str">
        <f t="shared" si="6"/>
        <v xml:space="preserve">T1B 6/16/24 21:00 </v>
      </c>
      <c r="F87" s="12">
        <f t="shared" si="7"/>
        <v>119.19441275973371</v>
      </c>
      <c r="G87" s="12">
        <f t="shared" si="8"/>
        <v>15.983422219366446</v>
      </c>
    </row>
    <row r="88" spans="1:7" x14ac:dyDescent="0.25">
      <c r="A88" s="6" t="str">
        <f>'Run File 10.15.24'!A50</f>
        <v xml:space="preserve">T2B 6/16/24 21:00 </v>
      </c>
      <c r="B88" s="16">
        <f>'Run File 10.15.24'!B50</f>
        <v>2.1666083333333335</v>
      </c>
      <c r="C88" s="16">
        <f>'Run File 10.15.24'!C50</f>
        <v>0.317075</v>
      </c>
      <c r="E88" s="11" t="str">
        <f t="shared" si="6"/>
        <v xml:space="preserve">T2B 6/16/24 21:00 </v>
      </c>
      <c r="F88" s="12">
        <f t="shared" si="7"/>
        <v>180.38984683102012</v>
      </c>
      <c r="G88" s="12">
        <f t="shared" si="8"/>
        <v>22.637380682102137</v>
      </c>
    </row>
    <row r="89" spans="1:7" x14ac:dyDescent="0.25">
      <c r="A89" s="6" t="str">
        <f>'Run File 10.15.24'!A51</f>
        <v xml:space="preserve">T3B 6/16/24 21:00 </v>
      </c>
      <c r="B89" s="16">
        <f>'Run File 10.15.24'!B51</f>
        <v>1.8976083333333333</v>
      </c>
      <c r="C89" s="16">
        <f>'Run File 10.15.24'!C51</f>
        <v>0.362875</v>
      </c>
      <c r="E89" s="11" t="str">
        <f t="shared" si="6"/>
        <v xml:space="preserve">T3B 6/16/24 21:00 </v>
      </c>
      <c r="F89" s="12">
        <f t="shared" si="7"/>
        <v>157.99315055186901</v>
      </c>
      <c r="G89" s="12">
        <f t="shared" si="8"/>
        <v>25.907244390184697</v>
      </c>
    </row>
    <row r="90" spans="1:7" x14ac:dyDescent="0.25">
      <c r="A90" s="6" t="str">
        <f>'Run File 10.15.24'!A52</f>
        <v xml:space="preserve">T4B 6/16/24 21:00 </v>
      </c>
      <c r="B90" s="16">
        <f>'Run File 10.15.24'!B52</f>
        <v>1.4336083333333334</v>
      </c>
      <c r="C90" s="16">
        <f>'Run File 10.15.24'!C52</f>
        <v>0.23957499999999998</v>
      </c>
      <c r="E90" s="11" t="str">
        <f t="shared" ref="E90:E136" si="9">A90</f>
        <v xml:space="preserve">T4B 6/16/24 21:00 </v>
      </c>
      <c r="F90" s="12">
        <f t="shared" ref="F90:F136" si="10">B90/12.0107*1000</f>
        <v>119.36093094768277</v>
      </c>
      <c r="G90" s="12">
        <f t="shared" ref="G90:G136" si="11">C90/14.0067*1000</f>
        <v>17.10431436384016</v>
      </c>
    </row>
    <row r="91" spans="1:7" x14ac:dyDescent="0.25">
      <c r="A91" s="6" t="str">
        <f>'Run File 10.15.24'!A56</f>
        <v xml:space="preserve">T5B 6/16/24 21:00 </v>
      </c>
      <c r="B91" s="16">
        <f>'Run File 10.15.24'!B56</f>
        <v>0.88960833333333345</v>
      </c>
      <c r="C91" s="16">
        <f>'Run File 10.15.24'!C56</f>
        <v>0.28717499999999996</v>
      </c>
      <c r="E91" s="11" t="str">
        <f t="shared" si="9"/>
        <v xml:space="preserve">T5B 6/16/24 21:00 </v>
      </c>
      <c r="F91" s="12">
        <f t="shared" si="10"/>
        <v>74.067983825533361</v>
      </c>
      <c r="G91" s="12">
        <f t="shared" si="11"/>
        <v>20.50268799931461</v>
      </c>
    </row>
    <row r="92" spans="1:7" x14ac:dyDescent="0.25">
      <c r="A92" s="6" t="str">
        <f>'Run File 10.15.24'!A57</f>
        <v xml:space="preserve">T6B 6/16/24 21:00 </v>
      </c>
      <c r="B92" s="16">
        <f>'Run File 10.15.24'!B57</f>
        <v>0.97460833333333341</v>
      </c>
      <c r="C92" s="16">
        <f>'Run File 10.15.24'!C57</f>
        <v>0.31437499999999996</v>
      </c>
      <c r="E92" s="11" t="str">
        <f t="shared" si="9"/>
        <v xml:space="preserve">T6B 6/16/24 21:00 </v>
      </c>
      <c r="F92" s="12">
        <f t="shared" si="10"/>
        <v>81.145006813369193</v>
      </c>
      <c r="G92" s="12">
        <f t="shared" si="11"/>
        <v>22.444615791014296</v>
      </c>
    </row>
    <row r="93" spans="1:7" x14ac:dyDescent="0.25">
      <c r="A93" s="6" t="str">
        <f>'Run File 10.15.24'!A58</f>
        <v>T7 6/16/24 21:00</v>
      </c>
      <c r="B93" s="16">
        <f>'Run File 10.15.24'!B58</f>
        <v>0.93500833333333344</v>
      </c>
      <c r="C93" s="16">
        <f>'Run File 10.15.24'!C58</f>
        <v>0.18607499999999999</v>
      </c>
      <c r="E93" s="11" t="str">
        <f t="shared" si="9"/>
        <v>T7 6/16/24 21:00</v>
      </c>
      <c r="F93" s="12">
        <f t="shared" si="10"/>
        <v>77.847946691977441</v>
      </c>
      <c r="G93" s="12">
        <f t="shared" si="11"/>
        <v>13.284713744136733</v>
      </c>
    </row>
    <row r="94" spans="1:7" x14ac:dyDescent="0.25">
      <c r="A94" s="6" t="str">
        <f>'Run File 10.15.24'!A59</f>
        <v xml:space="preserve">T8 6/16/24 21:00 </v>
      </c>
      <c r="B94" s="16">
        <f>'Run File 10.15.24'!B59</f>
        <v>0.88360833333333344</v>
      </c>
      <c r="C94" s="16">
        <f>'Run File 10.15.24'!C59</f>
        <v>0.22847499999999998</v>
      </c>
      <c r="E94" s="11" t="str">
        <f t="shared" si="9"/>
        <v xml:space="preserve">T8 6/16/24 21:00 </v>
      </c>
      <c r="F94" s="12">
        <f t="shared" si="10"/>
        <v>73.56842926168612</v>
      </c>
      <c r="G94" s="12">
        <f t="shared" si="11"/>
        <v>16.311836478256833</v>
      </c>
    </row>
    <row r="95" spans="1:7" x14ac:dyDescent="0.25">
      <c r="A95" s="6" t="str">
        <f>'Run File 10.15.24'!A60</f>
        <v xml:space="preserve">T9 6/16/24 21:00 </v>
      </c>
      <c r="B95" s="16">
        <f>'Run File 10.15.24'!B60</f>
        <v>1.3796083333333335</v>
      </c>
      <c r="C95" s="16">
        <f>'Run File 10.15.24'!C60</f>
        <v>0.25387499999999996</v>
      </c>
      <c r="E95" s="11" t="str">
        <f t="shared" si="9"/>
        <v xml:space="preserve">T9 6/16/24 21:00 </v>
      </c>
      <c r="F95" s="12">
        <f t="shared" si="10"/>
        <v>114.86493987305765</v>
      </c>
      <c r="G95" s="12">
        <f t="shared" si="11"/>
        <v>18.125254342564627</v>
      </c>
    </row>
    <row r="96" spans="1:7" x14ac:dyDescent="0.25">
      <c r="A96" s="6" t="str">
        <f>'Run File 10.15.24'!A61</f>
        <v xml:space="preserve">T10 6/16/24 21:00 </v>
      </c>
      <c r="B96" s="16">
        <f>'Run File 10.15.24'!B61</f>
        <v>1.1326083333333332</v>
      </c>
      <c r="C96" s="16">
        <f>'Run File 10.15.24'!C61</f>
        <v>0.25647500000000001</v>
      </c>
      <c r="E96" s="11" t="str">
        <f t="shared" si="9"/>
        <v xml:space="preserve">T10 6/16/24 21:00 </v>
      </c>
      <c r="F96" s="12">
        <f t="shared" si="10"/>
        <v>94.299943661346404</v>
      </c>
      <c r="G96" s="12">
        <f t="shared" si="11"/>
        <v>18.310879793241803</v>
      </c>
    </row>
    <row r="97" spans="1:7" x14ac:dyDescent="0.25">
      <c r="A97" s="6" t="str">
        <f>'Run File 10.15.24'!A62</f>
        <v xml:space="preserve">T11 6/16/24 21:00 </v>
      </c>
      <c r="B97" s="16">
        <f>'Run File 10.15.24'!B62</f>
        <v>0.84860833333333341</v>
      </c>
      <c r="C97" s="16">
        <f>'Run File 10.15.24'!C62</f>
        <v>0.22907499999999997</v>
      </c>
      <c r="E97" s="11" t="str">
        <f t="shared" si="9"/>
        <v xml:space="preserve">T11 6/16/24 21:00 </v>
      </c>
      <c r="F97" s="12">
        <f t="shared" si="10"/>
        <v>70.654360972577237</v>
      </c>
      <c r="G97" s="12">
        <f t="shared" si="11"/>
        <v>16.354673120720793</v>
      </c>
    </row>
    <row r="98" spans="1:7" x14ac:dyDescent="0.25">
      <c r="A98" s="6" t="str">
        <f>'Run File 10.15.24'!A63</f>
        <v xml:space="preserve">T12 6/16/24 21:00 </v>
      </c>
      <c r="B98" s="16">
        <f>'Run File 10.15.24'!B63</f>
        <v>0.93590833333333334</v>
      </c>
      <c r="C98" s="16">
        <f>'Run File 10.15.24'!C63</f>
        <v>0.19967499999999999</v>
      </c>
      <c r="E98" s="11" t="str">
        <f t="shared" si="9"/>
        <v xml:space="preserve">T12 6/16/24 21:00 </v>
      </c>
      <c r="F98" s="12">
        <f t="shared" si="10"/>
        <v>77.922879876554518</v>
      </c>
      <c r="G98" s="12">
        <f t="shared" si="11"/>
        <v>14.255677639986578</v>
      </c>
    </row>
    <row r="99" spans="1:7" x14ac:dyDescent="0.25">
      <c r="A99" s="6" t="str">
        <f>'Run File 10.15.24'!A64</f>
        <v xml:space="preserve">T13 6/16/24 21:00 </v>
      </c>
      <c r="B99" s="16">
        <f>'Run File 10.15.24'!B64</f>
        <v>0.92250833333333337</v>
      </c>
      <c r="C99" s="16">
        <f>'Run File 10.15.24'!C64</f>
        <v>0.23717499999999997</v>
      </c>
      <c r="E99" s="11" t="str">
        <f t="shared" si="9"/>
        <v xml:space="preserve">T13 6/16/24 21:00 </v>
      </c>
      <c r="F99" s="12">
        <f t="shared" si="10"/>
        <v>76.807208017295693</v>
      </c>
      <c r="G99" s="12">
        <f t="shared" si="11"/>
        <v>16.932967793984307</v>
      </c>
    </row>
    <row r="100" spans="1:7" x14ac:dyDescent="0.25">
      <c r="A100" s="6" t="str">
        <f>'Run File 10.15.24'!A65</f>
        <v xml:space="preserve">T14 6/16/24 21:00 </v>
      </c>
      <c r="B100" s="16">
        <f>'Run File 10.15.24'!B65</f>
        <v>0.99160833333333331</v>
      </c>
      <c r="C100" s="16">
        <f>'Run File 10.15.24'!C65</f>
        <v>0.23397499999999999</v>
      </c>
      <c r="E100" s="11" t="str">
        <f t="shared" si="9"/>
        <v xml:space="preserve">T14 6/16/24 21:00 </v>
      </c>
      <c r="F100" s="12">
        <f t="shared" si="10"/>
        <v>82.560411410936354</v>
      </c>
      <c r="G100" s="12">
        <f t="shared" si="11"/>
        <v>16.704505700843168</v>
      </c>
    </row>
    <row r="101" spans="1:7" x14ac:dyDescent="0.25">
      <c r="A101" s="6" t="str">
        <f>'Run File 10.15.24'!A69</f>
        <v xml:space="preserve">T15 6/11/24 21:00 </v>
      </c>
      <c r="B101" s="16">
        <f>'Run File 10.15.24'!B69</f>
        <v>0.9586083333333334</v>
      </c>
      <c r="C101" s="16">
        <f>'Run File 10.15.24'!C69</f>
        <v>0.26207499999999995</v>
      </c>
      <c r="E101" s="11" t="str">
        <f t="shared" si="9"/>
        <v xml:space="preserve">T15 6/11/24 21:00 </v>
      </c>
      <c r="F101" s="12">
        <f t="shared" si="10"/>
        <v>79.812861309776565</v>
      </c>
      <c r="G101" s="12">
        <f t="shared" si="11"/>
        <v>18.710688456238795</v>
      </c>
    </row>
    <row r="102" spans="1:7" x14ac:dyDescent="0.25">
      <c r="A102" s="6" t="str">
        <f>'Run File 10.15.24'!A70</f>
        <v xml:space="preserve">T16 6/11/24 21:00 </v>
      </c>
      <c r="B102" s="16">
        <f>'Run File 10.15.24'!B70</f>
        <v>0.89520833333333338</v>
      </c>
      <c r="C102" s="16">
        <f>'Run File 10.15.24'!C70</f>
        <v>0.20317499999999999</v>
      </c>
      <c r="E102" s="11" t="str">
        <f t="shared" si="9"/>
        <v xml:space="preserve">T16 6/11/24 21:00 </v>
      </c>
      <c r="F102" s="12">
        <f t="shared" si="10"/>
        <v>74.534234751790777</v>
      </c>
      <c r="G102" s="12">
        <f t="shared" si="11"/>
        <v>14.5055580543597</v>
      </c>
    </row>
    <row r="103" spans="1:7" x14ac:dyDescent="0.25">
      <c r="A103" s="6" t="str">
        <f>'Run File 10.15.24'!A71</f>
        <v>IN_1 6/20/24 9PM</v>
      </c>
      <c r="B103" s="16">
        <f>'Run File 10.15.24'!B71</f>
        <v>1.4746083333333333</v>
      </c>
      <c r="C103" s="16">
        <f>'Run File 10.15.24'!C71</f>
        <v>0.51587499999999997</v>
      </c>
      <c r="E103" s="11" t="str">
        <f t="shared" si="9"/>
        <v>IN_1 6/20/24 9PM</v>
      </c>
      <c r="F103" s="12">
        <f t="shared" si="10"/>
        <v>122.77455380063887</v>
      </c>
      <c r="G103" s="12">
        <f t="shared" si="11"/>
        <v>36.830588218495436</v>
      </c>
    </row>
    <row r="104" spans="1:7" x14ac:dyDescent="0.25">
      <c r="A104" s="6" t="str">
        <f>'Run File 10.15.24'!A72</f>
        <v xml:space="preserve">IN_2 6/20/24 9PM </v>
      </c>
      <c r="B104" s="16">
        <f>'Run File 10.15.24'!B72</f>
        <v>1.7596083333333334</v>
      </c>
      <c r="C104" s="16">
        <f>'Run File 10.15.24'!C72</f>
        <v>0.21957499999999999</v>
      </c>
      <c r="E104" s="11" t="str">
        <f t="shared" si="9"/>
        <v xml:space="preserve">IN_2 6/20/24 9PM </v>
      </c>
      <c r="F104" s="12">
        <f t="shared" si="10"/>
        <v>146.5033955833826</v>
      </c>
      <c r="G104" s="12">
        <f t="shared" si="11"/>
        <v>15.676426281708039</v>
      </c>
    </row>
    <row r="105" spans="1:7" x14ac:dyDescent="0.25">
      <c r="A105" s="6" t="str">
        <f>'Run File 10.15.24'!A73</f>
        <v xml:space="preserve">T1 6/20/24 9PM </v>
      </c>
      <c r="B105" s="16">
        <f>'Run File 10.15.24'!B73</f>
        <v>1.7756083333333335</v>
      </c>
      <c r="C105" s="16">
        <f>'Run File 10.15.24'!C73</f>
        <v>0.39837499999999998</v>
      </c>
      <c r="E105" s="11" t="str">
        <f t="shared" si="9"/>
        <v xml:space="preserve">T1 6/20/24 9PM </v>
      </c>
      <c r="F105" s="12">
        <f t="shared" si="10"/>
        <v>147.83554108697524</v>
      </c>
      <c r="G105" s="12">
        <f t="shared" si="11"/>
        <v>28.441745735969214</v>
      </c>
    </row>
    <row r="106" spans="1:7" x14ac:dyDescent="0.25">
      <c r="A106" s="6" t="str">
        <f>'Run File 10.15.24'!A74</f>
        <v xml:space="preserve">T2 6/20/24 9PM </v>
      </c>
      <c r="B106" s="16">
        <f>'Run File 10.15.24'!B74</f>
        <v>2.3596083333333335</v>
      </c>
      <c r="C106" s="16">
        <f>'Run File 10.15.24'!C74</f>
        <v>0.45217499999999999</v>
      </c>
      <c r="E106" s="11" t="str">
        <f t="shared" si="9"/>
        <v xml:space="preserve">T2 6/20/24 9PM </v>
      </c>
      <c r="F106" s="12">
        <f t="shared" si="10"/>
        <v>196.45885196810622</v>
      </c>
      <c r="G106" s="12">
        <f t="shared" si="11"/>
        <v>32.28276467690462</v>
      </c>
    </row>
    <row r="107" spans="1:7" x14ac:dyDescent="0.25">
      <c r="A107" s="6" t="str">
        <f>'Run File 10.15.24'!A75</f>
        <v xml:space="preserve">T3 6/20/24 9PM </v>
      </c>
      <c r="B107" s="16">
        <f>'Run File 10.15.24'!B75</f>
        <v>1.1576083333333336</v>
      </c>
      <c r="C107" s="16">
        <f>'Run File 10.15.24'!C75</f>
        <v>0.55687500000000001</v>
      </c>
      <c r="E107" s="11" t="str">
        <f t="shared" si="9"/>
        <v xml:space="preserve">T3 6/20/24 9PM </v>
      </c>
      <c r="F107" s="12">
        <f t="shared" si="10"/>
        <v>96.381421010709914</v>
      </c>
      <c r="G107" s="12">
        <f t="shared" si="11"/>
        <v>39.757758786866283</v>
      </c>
    </row>
    <row r="108" spans="1:7" x14ac:dyDescent="0.25">
      <c r="A108" s="6" t="str">
        <f>'Run File 10.15.24'!A76</f>
        <v xml:space="preserve">T4 6/20/24 9PM </v>
      </c>
      <c r="B108" s="16">
        <f>'Run File 10.15.24'!B76</f>
        <v>2.0186083333333333</v>
      </c>
      <c r="C108" s="16">
        <f>'Run File 10.15.24'!C76</f>
        <v>0.46037499999999998</v>
      </c>
      <c r="E108" s="11" t="str">
        <f t="shared" si="9"/>
        <v xml:space="preserve">T4 6/20/24 9PM </v>
      </c>
      <c r="F108" s="12">
        <f t="shared" si="10"/>
        <v>168.0675009227883</v>
      </c>
      <c r="G108" s="12">
        <f t="shared" si="11"/>
        <v>32.868198790578788</v>
      </c>
    </row>
    <row r="109" spans="1:7" x14ac:dyDescent="0.25">
      <c r="A109" s="6" t="str">
        <f>'Run File 10.15.24'!A77</f>
        <v xml:space="preserve">T5 6/20/24 9PM </v>
      </c>
      <c r="B109" s="16">
        <f>'Run File 10.15.24'!B77</f>
        <v>0.90710833333333341</v>
      </c>
      <c r="C109" s="16">
        <f>'Run File 10.15.24'!C77</f>
        <v>0.46187499999999998</v>
      </c>
      <c r="E109" s="11" t="str">
        <f t="shared" si="9"/>
        <v xml:space="preserve">T5 6/20/24 9PM </v>
      </c>
      <c r="F109" s="12">
        <f t="shared" si="10"/>
        <v>75.525017970087788</v>
      </c>
      <c r="G109" s="12">
        <f t="shared" si="11"/>
        <v>32.9752903967387</v>
      </c>
    </row>
    <row r="110" spans="1:7" x14ac:dyDescent="0.25">
      <c r="A110" s="6" t="str">
        <f>'Run File 10.15.24'!A78</f>
        <v xml:space="preserve">T6 6/20/24 9PM </v>
      </c>
      <c r="B110" s="16">
        <f>'Run File 10.15.24'!B78</f>
        <v>0.94720833333333343</v>
      </c>
      <c r="C110" s="16">
        <f>'Run File 10.15.24'!C78</f>
        <v>0.42917499999999997</v>
      </c>
      <c r="E110" s="11" t="str">
        <f t="shared" si="9"/>
        <v xml:space="preserve">T6 6/20/24 9PM </v>
      </c>
      <c r="F110" s="12">
        <f t="shared" si="10"/>
        <v>78.863707638466821</v>
      </c>
      <c r="G110" s="12">
        <f t="shared" si="11"/>
        <v>30.640693382452682</v>
      </c>
    </row>
    <row r="111" spans="1:7" x14ac:dyDescent="0.25">
      <c r="A111" s="6" t="str">
        <f>'Run File 10.22.24'!A17</f>
        <v xml:space="preserve">T7 6/20/24 9PM </v>
      </c>
      <c r="B111" s="16">
        <f>'Run File 10.22.24'!B17</f>
        <v>1.0236833333333333</v>
      </c>
      <c r="C111" s="16">
        <f>'Run File 10.22.24'!C17</f>
        <v>0.44308333333333333</v>
      </c>
      <c r="E111" s="11" t="str">
        <f t="shared" si="9"/>
        <v xml:space="preserve">T7 6/20/24 9PM </v>
      </c>
      <c r="F111" s="12">
        <f t="shared" si="10"/>
        <v>85.230946850169701</v>
      </c>
      <c r="G111" s="12">
        <f t="shared" si="11"/>
        <v>31.633670552902061</v>
      </c>
    </row>
    <row r="112" spans="1:7" x14ac:dyDescent="0.25">
      <c r="A112" s="6" t="str">
        <f>'Run File 10.22.24'!A18</f>
        <v xml:space="preserve">T8 6/20/24 9PM </v>
      </c>
      <c r="B112" s="16">
        <f>'Run File 10.22.24'!B18</f>
        <v>1.0091833333333335</v>
      </c>
      <c r="C112" s="16">
        <f>'Run File 10.22.24'!C18</f>
        <v>0.29708333333333331</v>
      </c>
      <c r="E112" s="11" t="str">
        <f t="shared" si="9"/>
        <v xml:space="preserve">T8 6/20/24 9PM </v>
      </c>
      <c r="F112" s="12">
        <f t="shared" si="10"/>
        <v>84.023689987538916</v>
      </c>
      <c r="G112" s="12">
        <f t="shared" si="11"/>
        <v>21.210087553337566</v>
      </c>
    </row>
    <row r="113" spans="1:7" x14ac:dyDescent="0.25">
      <c r="A113" s="6" t="str">
        <f>'Run File 10.22.24'!A19</f>
        <v xml:space="preserve">T9 6/20/24 9PM </v>
      </c>
      <c r="B113" s="16">
        <f>'Run File 10.22.24'!B19</f>
        <v>0.91398333333333337</v>
      </c>
      <c r="C113" s="16">
        <f>'Run File 10.22.24'!C19</f>
        <v>0.3520833333333333</v>
      </c>
      <c r="E113" s="11" t="str">
        <f t="shared" si="9"/>
        <v xml:space="preserve">T9 6/20/24 9PM </v>
      </c>
      <c r="F113" s="12">
        <f t="shared" si="10"/>
        <v>76.097424241162742</v>
      </c>
      <c r="G113" s="12">
        <f t="shared" si="11"/>
        <v>25.136779779200904</v>
      </c>
    </row>
    <row r="114" spans="1:7" x14ac:dyDescent="0.25">
      <c r="A114" s="6" t="str">
        <f>'Run File 10.22.24'!A20</f>
        <v xml:space="preserve">T10 6/20/24 9PM </v>
      </c>
      <c r="B114" s="16">
        <f>'Run File 10.22.24'!B20</f>
        <v>1.0156833333333333</v>
      </c>
      <c r="C114" s="16">
        <f>'Run File 10.22.24'!C20</f>
        <v>0.38878333333333331</v>
      </c>
      <c r="E114" s="11" t="str">
        <f t="shared" si="9"/>
        <v xml:space="preserve">T10 6/20/24 9PM </v>
      </c>
      <c r="F114" s="12">
        <f t="shared" si="10"/>
        <v>84.564874098373394</v>
      </c>
      <c r="G114" s="12">
        <f t="shared" si="11"/>
        <v>27.756954409913352</v>
      </c>
    </row>
    <row r="115" spans="1:7" x14ac:dyDescent="0.25">
      <c r="A115" s="6" t="str">
        <f>'Run File 10.22.24'!A21</f>
        <v>T11 6/20/24 9PM</v>
      </c>
      <c r="B115" s="16">
        <f>'Run File 10.22.24'!B21</f>
        <v>1.7996833333333333</v>
      </c>
      <c r="C115" s="16">
        <f>'Run File 10.22.24'!C21</f>
        <v>0.43118333333333331</v>
      </c>
      <c r="E115" s="11" t="str">
        <f t="shared" si="9"/>
        <v>T11 6/20/24 9PM</v>
      </c>
      <c r="F115" s="12">
        <f t="shared" si="10"/>
        <v>149.84000377441225</v>
      </c>
      <c r="G115" s="12">
        <f t="shared" si="11"/>
        <v>30.78407714403345</v>
      </c>
    </row>
    <row r="116" spans="1:7" x14ac:dyDescent="0.25">
      <c r="A116" s="6" t="str">
        <f>'Run File 10.22.24'!A22</f>
        <v xml:space="preserve">T12 6/20/24 9PM </v>
      </c>
      <c r="B116" s="16">
        <f>'Run File 10.22.24'!B22</f>
        <v>2.479683333333333</v>
      </c>
      <c r="C116" s="16">
        <f>'Run File 10.22.24'!C22</f>
        <v>0.52578333333333327</v>
      </c>
      <c r="E116" s="11" t="str">
        <f t="shared" si="9"/>
        <v xml:space="preserve">T12 6/20/24 9PM </v>
      </c>
      <c r="F116" s="12">
        <f t="shared" si="10"/>
        <v>206.456187677099</v>
      </c>
      <c r="G116" s="12">
        <f t="shared" si="11"/>
        <v>37.537987772518385</v>
      </c>
    </row>
    <row r="117" spans="1:7" x14ac:dyDescent="0.25">
      <c r="A117" s="6" t="str">
        <f>'Run File 10.22.24'!A23</f>
        <v xml:space="preserve">T13 6/20/24 9PM </v>
      </c>
      <c r="B117" s="16">
        <f>'Run File 10.22.24'!B23</f>
        <v>1.0406833333333334</v>
      </c>
      <c r="C117" s="16">
        <f>'Run File 10.22.24'!C23</f>
        <v>0.39438333333333331</v>
      </c>
      <c r="E117" s="11" t="str">
        <f t="shared" si="9"/>
        <v xml:space="preserve">T13 6/20/24 9PM </v>
      </c>
      <c r="F117" s="12">
        <f t="shared" si="10"/>
        <v>86.64635144773689</v>
      </c>
      <c r="G117" s="12">
        <f t="shared" si="11"/>
        <v>28.156763072910341</v>
      </c>
    </row>
    <row r="118" spans="1:7" x14ac:dyDescent="0.25">
      <c r="A118" s="6" t="str">
        <f>'Run File 10.22.24'!A24</f>
        <v xml:space="preserve">T14 6/20/24 9PM </v>
      </c>
      <c r="B118" s="16">
        <f>'Run File 10.22.24'!B24</f>
        <v>1.6526833333333333</v>
      </c>
      <c r="C118" s="16">
        <f>'Run File 10.22.24'!C24</f>
        <v>0.63658333333333328</v>
      </c>
      <c r="E118" s="11" t="str">
        <f t="shared" si="9"/>
        <v xml:space="preserve">T14 6/20/24 9PM </v>
      </c>
      <c r="F118" s="12">
        <f t="shared" si="10"/>
        <v>137.60091696015496</v>
      </c>
      <c r="G118" s="12">
        <f t="shared" si="11"/>
        <v>45.448487747530343</v>
      </c>
    </row>
    <row r="119" spans="1:7" x14ac:dyDescent="0.25">
      <c r="A119" s="6" t="str">
        <f>'Run File 10.22.24'!A25</f>
        <v xml:space="preserve">T15 6/20/24 9PM </v>
      </c>
      <c r="B119" s="16">
        <f>'Run File 10.22.24'!B25</f>
        <v>1.1156833333333334</v>
      </c>
      <c r="C119" s="16">
        <f>'Run File 10.22.24'!C25</f>
        <v>0.25168333333333331</v>
      </c>
      <c r="E119" s="11" t="str">
        <f t="shared" si="9"/>
        <v xml:space="preserve">T15 6/20/24 9PM </v>
      </c>
      <c r="F119" s="12">
        <f t="shared" si="10"/>
        <v>92.890783495827321</v>
      </c>
      <c r="G119" s="12">
        <f t="shared" si="11"/>
        <v>17.96878160689765</v>
      </c>
    </row>
    <row r="120" spans="1:7" x14ac:dyDescent="0.25">
      <c r="A120" s="6" t="str">
        <f>'Run File 10.22.24'!A26</f>
        <v xml:space="preserve">T16 6/20/24 9PM </v>
      </c>
      <c r="B120" s="16">
        <f>'Run File 10.22.24'!B26</f>
        <v>1.1336833333333334</v>
      </c>
      <c r="C120" s="16">
        <f>'Run File 10.22.24'!C26</f>
        <v>0.3515833333333333</v>
      </c>
      <c r="E120" s="11" t="str">
        <f t="shared" si="9"/>
        <v xml:space="preserve">T16 6/20/24 9PM </v>
      </c>
      <c r="F120" s="12">
        <f t="shared" si="10"/>
        <v>94.389447187369043</v>
      </c>
      <c r="G120" s="12">
        <f t="shared" si="11"/>
        <v>25.101082577147601</v>
      </c>
    </row>
    <row r="121" spans="1:7" x14ac:dyDescent="0.25">
      <c r="A121" s="6" t="str">
        <f>'Run File 10.22.24'!A30</f>
        <v xml:space="preserve">IN_1 6/20/24 NOON </v>
      </c>
      <c r="B121" s="16">
        <f>'Run File 10.22.24'!B30</f>
        <v>1.2556833333333335</v>
      </c>
      <c r="C121" s="16">
        <f>'Run File 10.22.24'!C30</f>
        <v>0.5476833333333333</v>
      </c>
      <c r="E121" s="11" t="str">
        <f t="shared" si="9"/>
        <v xml:space="preserve">IN_1 6/20/24 NOON </v>
      </c>
      <c r="F121" s="12">
        <f t="shared" si="10"/>
        <v>104.54705665226285</v>
      </c>
      <c r="G121" s="12">
        <f t="shared" si="11"/>
        <v>39.101525222453063</v>
      </c>
    </row>
    <row r="122" spans="1:7" x14ac:dyDescent="0.25">
      <c r="A122" s="6" t="str">
        <f>'Run File 10.22.24'!A31</f>
        <v xml:space="preserve">IN_2 6/20/24 NOON </v>
      </c>
      <c r="B122" s="16">
        <f>'Run File 10.22.24'!B31</f>
        <v>1.1896833333333334</v>
      </c>
      <c r="C122" s="16">
        <f>'Run File 10.22.24'!C31</f>
        <v>0.1532033333333333</v>
      </c>
      <c r="E122" s="11" t="str">
        <f t="shared" si="9"/>
        <v xml:space="preserve">IN_2 6/20/24 NOON </v>
      </c>
      <c r="F122" s="12">
        <f t="shared" si="10"/>
        <v>99.051956449943262</v>
      </c>
      <c r="G122" s="12">
        <f t="shared" si="11"/>
        <v>10.937860690479077</v>
      </c>
    </row>
    <row r="123" spans="1:7" x14ac:dyDescent="0.25">
      <c r="A123" s="6" t="str">
        <f>'Run File 10.22.24'!A32</f>
        <v xml:space="preserve">T1 6/20/24 NOON </v>
      </c>
      <c r="B123" s="16">
        <f>'Run File 10.22.24'!B32</f>
        <v>1.4956833333333335</v>
      </c>
      <c r="C123" s="16">
        <f>'Run File 10.22.24'!C32</f>
        <v>0.18098333333333333</v>
      </c>
      <c r="E123" s="11" t="str">
        <f t="shared" si="9"/>
        <v xml:space="preserve">T1 6/20/24 NOON </v>
      </c>
      <c r="F123" s="12">
        <f t="shared" si="10"/>
        <v>124.5292392061523</v>
      </c>
      <c r="G123" s="12">
        <f t="shared" si="11"/>
        <v>12.921197236560598</v>
      </c>
    </row>
    <row r="124" spans="1:7" x14ac:dyDescent="0.25">
      <c r="A124" s="6" t="str">
        <f>'Run File 10.22.24'!A33</f>
        <v xml:space="preserve">T2 6/20/24 NOON </v>
      </c>
      <c r="B124" s="16">
        <f>'Run File 10.22.24'!B33</f>
        <v>1.1656833333333334</v>
      </c>
      <c r="C124" s="16">
        <f>'Run File 10.22.24'!C33</f>
        <v>0.19278333333333331</v>
      </c>
      <c r="E124" s="11" t="str">
        <f t="shared" si="9"/>
        <v xml:space="preserve">T2 6/20/24 NOON </v>
      </c>
      <c r="F124" s="12">
        <f t="shared" si="10"/>
        <v>97.053738194554299</v>
      </c>
      <c r="G124" s="12">
        <f t="shared" si="11"/>
        <v>13.763651205018549</v>
      </c>
    </row>
    <row r="125" spans="1:7" x14ac:dyDescent="0.25">
      <c r="A125" s="6" t="str">
        <f>'Run File 10.22.24'!A34</f>
        <v xml:space="preserve">T3 6/20/24 NOON </v>
      </c>
      <c r="B125" s="16">
        <f>'Run File 10.22.24'!B34</f>
        <v>1.2316833333333335</v>
      </c>
      <c r="C125" s="16">
        <f>'Run File 10.22.24'!C34</f>
        <v>0.24588333333333331</v>
      </c>
      <c r="E125" s="11" t="str">
        <f t="shared" si="9"/>
        <v xml:space="preserve">T3 6/20/24 NOON </v>
      </c>
      <c r="F125" s="12">
        <f t="shared" si="10"/>
        <v>102.54883839687392</v>
      </c>
      <c r="G125" s="12">
        <f t="shared" si="11"/>
        <v>17.554694063079332</v>
      </c>
    </row>
    <row r="126" spans="1:7" x14ac:dyDescent="0.25">
      <c r="A126" s="6" t="str">
        <f>'Run File 10.22.24'!A35</f>
        <v xml:space="preserve">T4 6/20/24 NOON </v>
      </c>
      <c r="B126" s="16">
        <f>'Run File 10.22.24'!B35</f>
        <v>2.3046833333333332</v>
      </c>
      <c r="C126" s="16">
        <f>'Run File 10.22.24'!C35</f>
        <v>0.24758333333333332</v>
      </c>
      <c r="E126" s="11" t="str">
        <f t="shared" si="9"/>
        <v xml:space="preserve">T4 6/20/24 NOON </v>
      </c>
      <c r="F126" s="12">
        <f t="shared" si="10"/>
        <v>191.88584623155464</v>
      </c>
      <c r="G126" s="12">
        <f t="shared" si="11"/>
        <v>17.676064550060566</v>
      </c>
    </row>
    <row r="127" spans="1:7" x14ac:dyDescent="0.25">
      <c r="A127" s="6" t="str">
        <f>'Run File 10.22.24'!A36</f>
        <v xml:space="preserve">T5 6/20/24 NOON </v>
      </c>
      <c r="B127" s="16">
        <f>'Run File 10.22.24'!B36</f>
        <v>1.0916833333333333</v>
      </c>
      <c r="C127" s="16">
        <f>'Run File 10.22.24'!C36</f>
        <v>0.2449833333333333</v>
      </c>
      <c r="E127" s="11" t="str">
        <f t="shared" si="9"/>
        <v xml:space="preserve">T5 6/20/24 NOON </v>
      </c>
      <c r="F127" s="12">
        <f t="shared" si="10"/>
        <v>90.892565240438387</v>
      </c>
      <c r="G127" s="12">
        <f t="shared" si="11"/>
        <v>17.490439099383387</v>
      </c>
    </row>
    <row r="128" spans="1:7" x14ac:dyDescent="0.25">
      <c r="A128" s="6" t="str">
        <f>'Run File 10.22.24'!A37</f>
        <v xml:space="preserve">T6 6/20/24 NOON </v>
      </c>
      <c r="B128" s="16">
        <f>'Run File 10.22.24'!B37</f>
        <v>1.2646833333333334</v>
      </c>
      <c r="C128" s="16">
        <f>'Run File 10.22.24'!C37</f>
        <v>0.41738333333333333</v>
      </c>
      <c r="E128" s="11" t="str">
        <f t="shared" si="9"/>
        <v xml:space="preserve">T6 6/20/24 NOON </v>
      </c>
      <c r="F128" s="12">
        <f t="shared" si="10"/>
        <v>105.29638849803371</v>
      </c>
      <c r="G128" s="12">
        <f t="shared" si="11"/>
        <v>29.798834367362286</v>
      </c>
    </row>
    <row r="129" spans="1:7" x14ac:dyDescent="0.25">
      <c r="A129" s="6" t="str">
        <f>'Run File 10.22.24'!A38</f>
        <v xml:space="preserve">T7 6/20/24 NOON </v>
      </c>
      <c r="B129" s="16">
        <f>'Run File 10.22.24'!B38</f>
        <v>2.173683333333333</v>
      </c>
      <c r="C129" s="16">
        <f>'Run File 10.22.24'!C38</f>
        <v>0.59178333333333333</v>
      </c>
      <c r="E129" s="11" t="str">
        <f t="shared" si="9"/>
        <v xml:space="preserve">T7 6/20/24 NOON </v>
      </c>
      <c r="F129" s="12">
        <f t="shared" si="10"/>
        <v>180.97890492088993</v>
      </c>
      <c r="G129" s="12">
        <f t="shared" si="11"/>
        <v>42.250018443554396</v>
      </c>
    </row>
    <row r="130" spans="1:7" x14ac:dyDescent="0.25">
      <c r="A130" s="6" t="str">
        <f>'Run File 10.22.24'!A39</f>
        <v xml:space="preserve">T8 6/20/24 NOON </v>
      </c>
      <c r="B130" s="16">
        <f>'Run File 10.22.24'!B39</f>
        <v>1.2216833333333335</v>
      </c>
      <c r="C130" s="16">
        <f>'Run File 10.22.24'!C39</f>
        <v>0.4977833333333333</v>
      </c>
      <c r="E130" s="11" t="str">
        <f t="shared" si="9"/>
        <v xml:space="preserve">T8 6/20/24 NOON </v>
      </c>
      <c r="F130" s="12">
        <f t="shared" si="10"/>
        <v>101.71624745712852</v>
      </c>
      <c r="G130" s="12">
        <f t="shared" si="11"/>
        <v>35.538944457533418</v>
      </c>
    </row>
    <row r="131" spans="1:7" x14ac:dyDescent="0.25">
      <c r="A131" s="6" t="str">
        <f>'Run File 11.14.24'!A17</f>
        <v xml:space="preserve">T9 6/20/24 NOON </v>
      </c>
      <c r="B131" s="16">
        <f>'Run File 11.14.24'!B17</f>
        <v>1.0996333333333332</v>
      </c>
      <c r="C131" s="16">
        <f>'Run File 11.14.24'!C17</f>
        <v>0.24745833333333328</v>
      </c>
      <c r="E131" s="11" t="str">
        <f t="shared" si="9"/>
        <v xml:space="preserve">T9 6/20/24 NOON </v>
      </c>
      <c r="F131" s="12">
        <f t="shared" si="10"/>
        <v>91.554475037535965</v>
      </c>
      <c r="G131" s="12">
        <f t="shared" si="11"/>
        <v>17.667140249547234</v>
      </c>
    </row>
    <row r="132" spans="1:7" x14ac:dyDescent="0.25">
      <c r="A132" s="6" t="str">
        <f>'Run File 11.14.24'!A18</f>
        <v xml:space="preserve">T10 6/20/24 NOON </v>
      </c>
      <c r="B132" s="16">
        <f>'Run File 11.14.24'!B18</f>
        <v>1.2486333333333333</v>
      </c>
      <c r="C132" s="16">
        <f>'Run File 11.14.24'!C18</f>
        <v>0.24415833333333328</v>
      </c>
      <c r="E132" s="11" t="str">
        <f t="shared" si="9"/>
        <v xml:space="preserve">T10 6/20/24 NOON </v>
      </c>
      <c r="F132" s="12">
        <f t="shared" si="10"/>
        <v>103.96008003974234</v>
      </c>
      <c r="G132" s="12">
        <f t="shared" si="11"/>
        <v>17.431538715995437</v>
      </c>
    </row>
    <row r="133" spans="1:7" x14ac:dyDescent="0.25">
      <c r="A133" s="6" t="str">
        <f>'Run File 11.14.24'!A19</f>
        <v xml:space="preserve">T11 6/20/24 NOON </v>
      </c>
      <c r="B133" s="16">
        <f>'Run File 11.14.24'!B19</f>
        <v>1.3466333333333336</v>
      </c>
      <c r="C133" s="16">
        <f>'Run File 11.14.24'!C19</f>
        <v>0.25505833333333328</v>
      </c>
      <c r="E133" s="11" t="str">
        <f t="shared" si="9"/>
        <v xml:space="preserve">T11 6/20/24 NOON </v>
      </c>
      <c r="F133" s="12">
        <f t="shared" si="10"/>
        <v>112.11947124924721</v>
      </c>
      <c r="G133" s="12">
        <f t="shared" si="11"/>
        <v>18.209737720757442</v>
      </c>
    </row>
    <row r="134" spans="1:7" x14ac:dyDescent="0.25">
      <c r="A134" s="6" t="str">
        <f>'Run File 11.14.24'!A20</f>
        <v xml:space="preserve">T12 6/20/24 NOON </v>
      </c>
      <c r="B134" s="16">
        <f>'Run File 11.14.24'!B20</f>
        <v>1.2176333333333336</v>
      </c>
      <c r="C134" s="16">
        <f>'Run File 11.14.24'!C20</f>
        <v>0.38375833333333331</v>
      </c>
      <c r="E134" s="11" t="str">
        <f t="shared" si="9"/>
        <v xml:space="preserve">T12 6/20/24 NOON </v>
      </c>
      <c r="F134" s="12">
        <f t="shared" si="10"/>
        <v>101.37904812653164</v>
      </c>
      <c r="G134" s="12">
        <f t="shared" si="11"/>
        <v>27.398197529277653</v>
      </c>
    </row>
    <row r="135" spans="1:7" x14ac:dyDescent="0.25">
      <c r="A135" s="6" t="str">
        <f>'Run File 11.14.24'!A21</f>
        <v>T13 6/20/24 NOON</v>
      </c>
      <c r="B135" s="16">
        <f>'Run File 11.14.24'!B21</f>
        <v>0.9348333333333334</v>
      </c>
      <c r="C135" s="16">
        <f>'Run File 11.14.24'!C21</f>
        <v>0.33915833333333328</v>
      </c>
      <c r="E135" s="11" t="str">
        <f t="shared" si="9"/>
        <v>T13 6/20/24 NOON</v>
      </c>
      <c r="F135" s="12">
        <f t="shared" si="10"/>
        <v>77.833376350531893</v>
      </c>
      <c r="G135" s="12">
        <f t="shared" si="11"/>
        <v>24.21400710612302</v>
      </c>
    </row>
    <row r="136" spans="1:7" x14ac:dyDescent="0.25">
      <c r="A136" s="6" t="str">
        <f>'Run File 11.14.24'!A22</f>
        <v xml:space="preserve">T14 6/20/24 NOON </v>
      </c>
      <c r="B136" s="16">
        <f>'Run File 11.14.24'!B22</f>
        <v>1.3726333333333334</v>
      </c>
      <c r="C136" s="16">
        <f>'Run File 11.14.24'!C22</f>
        <v>0.25745833333333329</v>
      </c>
      <c r="E136" s="11" t="str">
        <f t="shared" si="9"/>
        <v xml:space="preserve">T14 6/20/24 NOON </v>
      </c>
      <c r="F136" s="12">
        <f t="shared" si="10"/>
        <v>114.28420769258523</v>
      </c>
      <c r="G136" s="12">
        <f t="shared" si="11"/>
        <v>18.381084290613298</v>
      </c>
    </row>
    <row r="137" spans="1:7" x14ac:dyDescent="0.25">
      <c r="A137" s="6" t="str">
        <f>'Run File 11.14.24'!A23</f>
        <v xml:space="preserve">T15 6/20/24 NOON </v>
      </c>
      <c r="B137" s="16">
        <f>'Run File 11.14.24'!B23</f>
        <v>4.5136333333333329</v>
      </c>
      <c r="C137" s="16">
        <f>'Run File 11.14.24'!C23</f>
        <v>0.6579583333333332</v>
      </c>
      <c r="E137" s="11" t="str">
        <f t="shared" ref="E137:E154" si="12">A137</f>
        <v xml:space="preserve">T15 6/20/24 NOON </v>
      </c>
      <c r="F137" s="12">
        <f t="shared" ref="F137:F154" si="13">B137/12.0107*1000</f>
        <v>375.80102186661333</v>
      </c>
      <c r="G137" s="12">
        <f t="shared" ref="G137:G154" si="14">C137/14.0067*1000</f>
        <v>46.974543135309041</v>
      </c>
    </row>
    <row r="138" spans="1:7" x14ac:dyDescent="0.25">
      <c r="A138" s="6" t="str">
        <f>'Run File 11.14.24'!A24</f>
        <v xml:space="preserve">T16 6/20/24 NOON </v>
      </c>
      <c r="B138" s="16">
        <f>'Run File 11.14.24'!B24</f>
        <v>1.0676333333333332</v>
      </c>
      <c r="C138" s="16">
        <f>'Run File 11.14.24'!C24</f>
        <v>0.50005833333333327</v>
      </c>
      <c r="E138" s="11" t="str">
        <f t="shared" si="12"/>
        <v xml:space="preserve">T16 6/20/24 NOON </v>
      </c>
      <c r="F138" s="12">
        <f t="shared" si="13"/>
        <v>88.89018403035071</v>
      </c>
      <c r="G138" s="12">
        <f t="shared" si="14"/>
        <v>35.701366726875939</v>
      </c>
    </row>
    <row r="139" spans="1:7" x14ac:dyDescent="0.25">
      <c r="A139" s="6" t="str">
        <f>'Run File 11.14.24'!A25</f>
        <v xml:space="preserve">C1 6/26/24 14:00 </v>
      </c>
      <c r="B139" s="16">
        <f>'Run File 11.14.24'!B25</f>
        <v>1.9116333333333335</v>
      </c>
      <c r="C139" s="16">
        <f>'Run File 11.14.24'!C25</f>
        <v>0.39335833333333331</v>
      </c>
      <c r="E139" s="11" t="str">
        <f t="shared" si="12"/>
        <v xml:space="preserve">C1 6/26/24 14:00 </v>
      </c>
      <c r="F139" s="12">
        <f t="shared" si="13"/>
        <v>159.16085934486196</v>
      </c>
      <c r="G139" s="12">
        <f t="shared" si="14"/>
        <v>28.083583808701071</v>
      </c>
    </row>
    <row r="140" spans="1:7" x14ac:dyDescent="0.25">
      <c r="A140" s="6" t="str">
        <f>'Run File 11.14.24'!A26</f>
        <v xml:space="preserve">C2 6/26/24 14:00 </v>
      </c>
      <c r="B140" s="16">
        <f>'Run File 11.14.24'!B26</f>
        <v>1.5196333333333332</v>
      </c>
      <c r="C140" s="16">
        <f>'Run File 11.14.24'!C26</f>
        <v>0.78675833333333323</v>
      </c>
      <c r="E140" s="11" t="str">
        <f t="shared" si="12"/>
        <v xml:space="preserve">C2 6/26/24 14:00 </v>
      </c>
      <c r="F140" s="12">
        <f t="shared" si="13"/>
        <v>126.52329450684249</v>
      </c>
      <c r="G140" s="12">
        <f t="shared" si="14"/>
        <v>56.170142384239917</v>
      </c>
    </row>
    <row r="141" spans="1:7" x14ac:dyDescent="0.25">
      <c r="A141" s="6" t="str">
        <f>'Run File 11.14.24'!A30</f>
        <v xml:space="preserve">C3 6/26/24 14:00 </v>
      </c>
      <c r="B141" s="16">
        <f>'Run File 11.14.24'!B30</f>
        <v>2.2136333333333331</v>
      </c>
      <c r="C141" s="16">
        <f>'Run File 11.14.24'!C30</f>
        <v>0.43405833333333327</v>
      </c>
      <c r="E141" s="11" t="str">
        <f t="shared" si="12"/>
        <v xml:space="preserve">C3 6/26/24 14:00 </v>
      </c>
      <c r="F141" s="12">
        <f t="shared" si="13"/>
        <v>184.30510572517281</v>
      </c>
      <c r="G141" s="12">
        <f t="shared" si="14"/>
        <v>30.989336055839935</v>
      </c>
    </row>
    <row r="142" spans="1:7" x14ac:dyDescent="0.25">
      <c r="A142" s="6" t="str">
        <f>'Run File 11.14.24'!A31</f>
        <v xml:space="preserve">C4 6/26/24 14:00 </v>
      </c>
      <c r="B142" s="16">
        <f>'Run File 11.14.24'!B31</f>
        <v>1.5636333333333332</v>
      </c>
      <c r="C142" s="16">
        <f>'Run File 11.14.24'!C31</f>
        <v>0.9402583333333332</v>
      </c>
      <c r="E142" s="11" t="str">
        <f t="shared" si="12"/>
        <v xml:space="preserve">C4 6/26/24 14:00 </v>
      </c>
      <c r="F142" s="12">
        <f t="shared" si="13"/>
        <v>130.18669464172223</v>
      </c>
      <c r="G142" s="12">
        <f t="shared" si="14"/>
        <v>67.129183414603958</v>
      </c>
    </row>
    <row r="143" spans="1:7" x14ac:dyDescent="0.25">
      <c r="A143" s="6" t="str">
        <f>'Run File 11.14.24'!A32</f>
        <v xml:space="preserve">C5 6/26/24 14:00 </v>
      </c>
      <c r="B143" s="16">
        <f>'Run File 11.14.24'!B32</f>
        <v>1.1926333333333332</v>
      </c>
      <c r="C143" s="16">
        <f>'Run File 11.14.24'!C32</f>
        <v>0.62435833333333335</v>
      </c>
      <c r="E143" s="11" t="str">
        <f t="shared" si="12"/>
        <v xml:space="preserve">C5 6/26/24 14:00 </v>
      </c>
      <c r="F143" s="12">
        <f t="shared" si="13"/>
        <v>99.297570777168119</v>
      </c>
      <c r="G143" s="12">
        <f t="shared" si="14"/>
        <v>44.575691157327093</v>
      </c>
    </row>
    <row r="144" spans="1:7" x14ac:dyDescent="0.25">
      <c r="A144" s="6" t="str">
        <f>'Run File 11.14.24'!A33</f>
        <v xml:space="preserve">C6 6/26/24 14:00 </v>
      </c>
      <c r="B144" s="16">
        <f>'Run File 11.14.24'!B33</f>
        <v>1.1846333333333332</v>
      </c>
      <c r="C144" s="16">
        <f>'Run File 11.14.24'!C33</f>
        <v>0.93765833333333326</v>
      </c>
      <c r="E144" s="11" t="str">
        <f t="shared" si="12"/>
        <v xml:space="preserve">C6 6/26/24 14:00 </v>
      </c>
      <c r="F144" s="12">
        <f t="shared" si="13"/>
        <v>98.631498025371812</v>
      </c>
      <c r="G144" s="12">
        <f t="shared" si="14"/>
        <v>66.943557963926793</v>
      </c>
    </row>
    <row r="145" spans="1:7" x14ac:dyDescent="0.25">
      <c r="A145" s="6" t="str">
        <f>'Run File 11.14.24'!A34</f>
        <v xml:space="preserve">C7 6/26/24 14:00 </v>
      </c>
      <c r="B145" s="16">
        <f>'Run File 11.14.24'!B34</f>
        <v>1.8966333333333334</v>
      </c>
      <c r="C145" s="16">
        <f>'Run File 11.14.24'!C34</f>
        <v>0.66265833333333335</v>
      </c>
      <c r="E145" s="11" t="str">
        <f t="shared" si="12"/>
        <v xml:space="preserve">C7 6/26/24 14:00 </v>
      </c>
      <c r="F145" s="12">
        <f t="shared" si="13"/>
        <v>157.91197293524385</v>
      </c>
      <c r="G145" s="12">
        <f t="shared" si="14"/>
        <v>47.310096834610107</v>
      </c>
    </row>
    <row r="146" spans="1:7" x14ac:dyDescent="0.25">
      <c r="A146" s="6" t="str">
        <f>'Run File 11.14.24'!A35</f>
        <v>C8 6/26/24 14:00</v>
      </c>
      <c r="B146" s="16">
        <f>'Run File 11.14.24'!B35</f>
        <v>1.1026333333333334</v>
      </c>
      <c r="C146" s="16">
        <f>'Run File 11.14.24'!C35</f>
        <v>0.33565833333333328</v>
      </c>
      <c r="E146" s="11" t="str">
        <f t="shared" si="12"/>
        <v>C8 6/26/24 14:00</v>
      </c>
      <c r="F146" s="12">
        <f t="shared" si="13"/>
        <v>91.804252319459607</v>
      </c>
      <c r="G146" s="12">
        <f t="shared" si="14"/>
        <v>23.964126691749897</v>
      </c>
    </row>
    <row r="147" spans="1:7" x14ac:dyDescent="0.25">
      <c r="A147" s="6" t="str">
        <f>'Run File 11.14.24'!A36</f>
        <v xml:space="preserve">C9 6/26/24 14:00 </v>
      </c>
      <c r="B147" s="16">
        <f>'Run File 11.14.24'!B36</f>
        <v>1.1616333333333335</v>
      </c>
      <c r="C147" s="16">
        <f>'Run File 11.14.24'!C36</f>
        <v>0.45715833333333328</v>
      </c>
      <c r="E147" s="11" t="str">
        <f t="shared" si="12"/>
        <v xml:space="preserve">C9 6/26/24 14:00 </v>
      </c>
      <c r="F147" s="12">
        <f t="shared" si="13"/>
        <v>96.716538863957439</v>
      </c>
      <c r="G147" s="12">
        <f t="shared" si="14"/>
        <v>32.638546790702542</v>
      </c>
    </row>
    <row r="148" spans="1:7" x14ac:dyDescent="0.25">
      <c r="A148" s="6" t="str">
        <f>'Run File 11.14.24'!A37</f>
        <v xml:space="preserve">C10 6/26/24 14:00 </v>
      </c>
      <c r="B148" s="16">
        <f>'Run File 11.14.24'!B37</f>
        <v>1.2246333333333332</v>
      </c>
      <c r="C148" s="16">
        <f>'Run File 11.14.24'!C37</f>
        <v>0.66585833333333322</v>
      </c>
      <c r="E148" s="11" t="str">
        <f t="shared" si="12"/>
        <v xml:space="preserve">C10 6/26/24 14:00 </v>
      </c>
      <c r="F148" s="12">
        <f t="shared" si="13"/>
        <v>101.96186178435339</v>
      </c>
      <c r="G148" s="12">
        <f t="shared" si="14"/>
        <v>47.538558927751232</v>
      </c>
    </row>
    <row r="149" spans="1:7" x14ac:dyDescent="0.25">
      <c r="A149" s="6" t="str">
        <f>'Run File 11.14.24'!A38</f>
        <v xml:space="preserve">C11 6/26/24 14:00 </v>
      </c>
      <c r="B149" s="16">
        <f>'Run File 11.14.24'!B38</f>
        <v>1.0736333333333334</v>
      </c>
      <c r="C149" s="16">
        <f>'Run File 11.14.24'!C38</f>
        <v>0.52835833333333326</v>
      </c>
      <c r="E149" s="11" t="str">
        <f t="shared" si="12"/>
        <v xml:space="preserve">C11 6/26/24 14:00 </v>
      </c>
      <c r="F149" s="12">
        <f t="shared" si="13"/>
        <v>89.389738594197965</v>
      </c>
      <c r="G149" s="12">
        <f t="shared" si="14"/>
        <v>37.721828363092897</v>
      </c>
    </row>
    <row r="150" spans="1:7" x14ac:dyDescent="0.25">
      <c r="A150" s="6" t="str">
        <f>'Run File 11.14.24'!A39</f>
        <v xml:space="preserve">C12 6/26/24 14:00 </v>
      </c>
      <c r="B150" s="16">
        <f>'Run File 11.14.24'!B39</f>
        <v>1.1376333333333335</v>
      </c>
      <c r="C150" s="16">
        <f>'Run File 11.14.24'!C39</f>
        <v>0.45255833333333328</v>
      </c>
      <c r="E150" s="11" t="str">
        <f t="shared" si="12"/>
        <v xml:space="preserve">C12 6/26/24 14:00 </v>
      </c>
      <c r="F150" s="12">
        <f t="shared" si="13"/>
        <v>94.718320608568476</v>
      </c>
      <c r="G150" s="12">
        <f t="shared" si="14"/>
        <v>32.310132531812158</v>
      </c>
    </row>
    <row r="151" spans="1:7" x14ac:dyDescent="0.25">
      <c r="A151" s="6" t="str">
        <f>'Run File 11.14.24'!A43</f>
        <v xml:space="preserve">C13 6/26/24 14:00 </v>
      </c>
      <c r="B151" s="16">
        <f>'Run File 11.14.24'!B43</f>
        <v>2.1056333333333335</v>
      </c>
      <c r="C151" s="16">
        <f>'Run File 11.14.24'!C43</f>
        <v>0.6277583333333332</v>
      </c>
      <c r="E151" s="11" t="str">
        <f t="shared" si="12"/>
        <v xml:space="preserve">C13 6/26/24 14:00 </v>
      </c>
      <c r="F151" s="12">
        <f t="shared" si="13"/>
        <v>175.31312357592259</v>
      </c>
      <c r="G151" s="12">
        <f t="shared" si="14"/>
        <v>44.818432131289541</v>
      </c>
    </row>
    <row r="152" spans="1:7" x14ac:dyDescent="0.25">
      <c r="A152" s="6" t="str">
        <f>'Run File 11.14.24'!A44</f>
        <v xml:space="preserve">C14 6/26/24 14:00 </v>
      </c>
      <c r="B152" s="16">
        <f>'Run File 11.14.24'!B44</f>
        <v>1.2546333333333335</v>
      </c>
      <c r="C152" s="16">
        <f>'Run File 11.14.24'!C44</f>
        <v>0.4206583333333333</v>
      </c>
      <c r="E152" s="11" t="str">
        <f t="shared" si="12"/>
        <v xml:space="preserve">C14 6/26/24 14:00 </v>
      </c>
      <c r="F152" s="12">
        <f t="shared" si="13"/>
        <v>104.45963460358959</v>
      </c>
      <c r="G152" s="12">
        <f t="shared" si="14"/>
        <v>30.032651040811416</v>
      </c>
    </row>
    <row r="153" spans="1:7" x14ac:dyDescent="0.25">
      <c r="A153" s="6" t="str">
        <f>'Run File 11.14.24'!A45</f>
        <v xml:space="preserve">C15 6/26/24 14:00 </v>
      </c>
      <c r="B153" s="16">
        <f>'Run File 11.14.24'!B45</f>
        <v>1.5046333333333335</v>
      </c>
      <c r="C153" s="16">
        <f>'Run File 11.14.24'!C45</f>
        <v>0.32635833333333331</v>
      </c>
      <c r="E153" s="11" t="str">
        <f t="shared" si="12"/>
        <v xml:space="preserve">C15 6/26/24 14:00 </v>
      </c>
      <c r="F153" s="12">
        <f t="shared" si="13"/>
        <v>125.27440809722442</v>
      </c>
      <c r="G153" s="12">
        <f t="shared" si="14"/>
        <v>23.300158733558462</v>
      </c>
    </row>
    <row r="154" spans="1:7" x14ac:dyDescent="0.25">
      <c r="A154" s="6" t="str">
        <f>'Run File 11.14.24'!A46</f>
        <v xml:space="preserve">C16 6/26/24 14:00 </v>
      </c>
      <c r="B154" s="16">
        <f>'Run File 11.14.24'!B46</f>
        <v>2.7196333333333333</v>
      </c>
      <c r="C154" s="16">
        <f>'Run File 11.14.24'!C46</f>
        <v>0.82945833333333319</v>
      </c>
      <c r="E154" s="11" t="str">
        <f t="shared" si="12"/>
        <v xml:space="preserve">C16 6/26/24 14:00 </v>
      </c>
      <c r="F154" s="12">
        <f t="shared" si="13"/>
        <v>226.43420727628975</v>
      </c>
      <c r="G154" s="12">
        <f t="shared" si="14"/>
        <v>59.218683439591999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6A71-D414-4ACA-A5D0-F58EF2F87B48}">
  <dimension ref="A1:G78"/>
  <sheetViews>
    <sheetView topLeftCell="A45" zoomScaleNormal="100" workbookViewId="0">
      <selection activeCell="E66" sqref="E66:G75"/>
    </sheetView>
  </sheetViews>
  <sheetFormatPr defaultRowHeight="15" x14ac:dyDescent="0.25"/>
  <cols>
    <col min="1" max="1" width="47.28515625" bestFit="1" customWidth="1"/>
    <col min="2" max="2" width="37.140625" bestFit="1" customWidth="1"/>
    <col min="3" max="3" width="14.5703125" customWidth="1"/>
    <col min="5" max="5" width="42.140625" bestFit="1" customWidth="1"/>
    <col min="6" max="6" width="15.5703125" customWidth="1"/>
    <col min="7" max="7" width="14" customWidth="1"/>
  </cols>
  <sheetData>
    <row r="1" spans="1:7" x14ac:dyDescent="0.25">
      <c r="A1" s="1" t="s">
        <v>0</v>
      </c>
      <c r="B1" s="2" t="s">
        <v>1</v>
      </c>
      <c r="D1" s="23" t="s">
        <v>2</v>
      </c>
      <c r="E1" s="24"/>
      <c r="F1" s="24"/>
      <c r="G1" s="25"/>
    </row>
    <row r="2" spans="1:7" ht="15.75" thickBot="1" x14ac:dyDescent="0.3">
      <c r="A2" s="1" t="s">
        <v>3</v>
      </c>
      <c r="B2" s="2">
        <v>1</v>
      </c>
      <c r="D2" s="26"/>
      <c r="E2" s="27"/>
      <c r="F2" s="27"/>
      <c r="G2" s="28"/>
    </row>
    <row r="3" spans="1:7" x14ac:dyDescent="0.25">
      <c r="A3" s="1" t="s">
        <v>4</v>
      </c>
      <c r="B3" s="14" t="s">
        <v>17</v>
      </c>
      <c r="D3" s="29" t="s">
        <v>29</v>
      </c>
      <c r="E3" s="30"/>
      <c r="F3" s="30"/>
      <c r="G3" s="31"/>
    </row>
    <row r="4" spans="1:7" ht="15.75" thickBot="1" x14ac:dyDescent="0.3">
      <c r="A4" s="1" t="s">
        <v>5</v>
      </c>
      <c r="B4" s="17">
        <v>45545</v>
      </c>
      <c r="C4" s="3"/>
      <c r="D4" s="32" t="s">
        <v>30</v>
      </c>
      <c r="E4" s="33"/>
      <c r="F4" s="33"/>
      <c r="G4" s="34"/>
    </row>
    <row r="5" spans="1:7" x14ac:dyDescent="0.25">
      <c r="A5" s="1" t="s">
        <v>6</v>
      </c>
      <c r="B5" s="18" t="s">
        <v>35</v>
      </c>
    </row>
    <row r="7" spans="1:7" ht="15" customHeight="1" x14ac:dyDescent="0.25"/>
    <row r="9" spans="1:7" x14ac:dyDescent="0.25">
      <c r="A9" s="4" t="s">
        <v>7</v>
      </c>
    </row>
    <row r="10" spans="1:7" x14ac:dyDescent="0.25">
      <c r="A10" s="5" t="s">
        <v>8</v>
      </c>
      <c r="B10" s="6" t="s">
        <v>9</v>
      </c>
    </row>
    <row r="11" spans="1:7" x14ac:dyDescent="0.25">
      <c r="A11" s="7"/>
      <c r="B11" s="10"/>
    </row>
    <row r="12" spans="1:7" x14ac:dyDescent="0.25">
      <c r="A12" t="s">
        <v>10</v>
      </c>
      <c r="E12" t="s">
        <v>11</v>
      </c>
    </row>
    <row r="13" spans="1:7" x14ac:dyDescent="0.25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5">
      <c r="A14" s="19" t="s">
        <v>28</v>
      </c>
      <c r="B14" s="20">
        <v>-9.2899999999999996E-3</v>
      </c>
      <c r="C14" s="20">
        <v>0</v>
      </c>
      <c r="E14" s="19" t="str">
        <f>A14</f>
        <v>DIW</v>
      </c>
      <c r="F14" s="21">
        <f>B14/12.0107*1000</f>
        <v>-0.77347698302347068</v>
      </c>
      <c r="G14" s="21">
        <f>C14/14.0067*1000</f>
        <v>0</v>
      </c>
    </row>
    <row r="15" spans="1:7" x14ac:dyDescent="0.25">
      <c r="A15" s="19" t="s">
        <v>27</v>
      </c>
      <c r="B15" s="20">
        <v>0.95650000000000002</v>
      </c>
      <c r="C15" s="20">
        <v>6.4519999999999994E-2</v>
      </c>
      <c r="E15" s="19" t="str">
        <f>A15</f>
        <v>LNSW</v>
      </c>
      <c r="F15" s="21">
        <f>B15/12.0107*1000</f>
        <v>79.637323386646898</v>
      </c>
      <c r="G15" s="21">
        <f>C15/14.0067*1000</f>
        <v>4.6063669529582265</v>
      </c>
    </row>
    <row r="16" spans="1:7" x14ac:dyDescent="0.25">
      <c r="A16" s="19" t="s">
        <v>31</v>
      </c>
      <c r="B16" s="20">
        <v>0.51306666666666678</v>
      </c>
      <c r="C16" s="20">
        <v>0.43982500000000002</v>
      </c>
      <c r="E16" s="19" t="str">
        <f>A16</f>
        <v>DSWR [B24,L05-24]</v>
      </c>
      <c r="F16" s="21">
        <f>B16/12.0107*1000</f>
        <v>42.717465815203681</v>
      </c>
      <c r="G16" s="21">
        <f>C16/14.0067*1000</f>
        <v>31.40104378618804</v>
      </c>
    </row>
    <row r="17" spans="1:7" x14ac:dyDescent="0.25">
      <c r="A17" s="6" t="s">
        <v>36</v>
      </c>
      <c r="B17" s="16">
        <v>5.424266666666667</v>
      </c>
      <c r="C17" s="16">
        <v>0.18252499999999999</v>
      </c>
      <c r="D17" s="15"/>
      <c r="E17" s="6" t="str">
        <f t="shared" ref="E17:E35" si="0">A17</f>
        <v xml:space="preserve">F1 6/6/24 21:00 </v>
      </c>
      <c r="F17" s="12">
        <f t="shared" ref="F17:F63" si="1">B17/12.0107*1000</f>
        <v>451.61952814296149</v>
      </c>
      <c r="G17" s="12">
        <f t="shared" ref="G17:G63" si="2">C17/14.0067*1000</f>
        <v>13.031263609558282</v>
      </c>
    </row>
    <row r="18" spans="1:7" x14ac:dyDescent="0.25">
      <c r="A18" s="6" t="s">
        <v>37</v>
      </c>
      <c r="B18" s="16">
        <v>1.2832666666666666</v>
      </c>
      <c r="C18" s="16">
        <v>0.16269500000000001</v>
      </c>
      <c r="D18" s="15"/>
      <c r="E18" s="6" t="str">
        <f t="shared" ref="E18:E20" si="3">A18</f>
        <v xml:space="preserve">T1 6/6/24 21:00 </v>
      </c>
      <c r="F18" s="12">
        <f t="shared" ref="F18:F20" si="4">B18/12.0107*1000</f>
        <v>106.84361999439388</v>
      </c>
      <c r="G18" s="12">
        <f t="shared" ref="G18:G20" si="5">C18/14.0067*1000</f>
        <v>11.615512576124283</v>
      </c>
    </row>
    <row r="19" spans="1:7" x14ac:dyDescent="0.25">
      <c r="A19" s="6" t="s">
        <v>38</v>
      </c>
      <c r="B19" s="16">
        <v>1.3752666666666666</v>
      </c>
      <c r="C19" s="16">
        <v>0.15121500000000002</v>
      </c>
      <c r="D19" s="15"/>
      <c r="E19" s="6" t="str">
        <f t="shared" si="3"/>
        <v xml:space="preserve">T2 6/6/24 21:00 </v>
      </c>
      <c r="F19" s="12">
        <f t="shared" si="4"/>
        <v>114.5034566400515</v>
      </c>
      <c r="G19" s="12">
        <f t="shared" si="5"/>
        <v>10.795904816980446</v>
      </c>
    </row>
    <row r="20" spans="1:7" x14ac:dyDescent="0.25">
      <c r="A20" s="6" t="s">
        <v>39</v>
      </c>
      <c r="B20" s="16">
        <v>1.4882666666666666</v>
      </c>
      <c r="C20" s="16">
        <v>0.16572500000000001</v>
      </c>
      <c r="D20" s="15"/>
      <c r="E20" s="6" t="str">
        <f t="shared" si="3"/>
        <v xml:space="preserve">T3 6/6/24 21:00 </v>
      </c>
      <c r="F20" s="12">
        <f t="shared" si="4"/>
        <v>123.91173425917445</v>
      </c>
      <c r="G20" s="12">
        <f t="shared" si="5"/>
        <v>11.831837620567301</v>
      </c>
    </row>
    <row r="21" spans="1:7" x14ac:dyDescent="0.25">
      <c r="A21" s="6" t="s">
        <v>40</v>
      </c>
      <c r="B21" s="16">
        <v>1.2792666666666666</v>
      </c>
      <c r="C21" s="16">
        <v>0.17052500000000001</v>
      </c>
      <c r="D21" s="15"/>
      <c r="E21" s="6" t="str">
        <f t="shared" si="0"/>
        <v xml:space="preserve">T4 6/6/24 21:00 </v>
      </c>
      <c r="F21" s="12">
        <f t="shared" si="1"/>
        <v>106.51058361849572</v>
      </c>
      <c r="G21" s="12">
        <f t="shared" si="2"/>
        <v>12.174530760279008</v>
      </c>
    </row>
    <row r="22" spans="1:7" x14ac:dyDescent="0.25">
      <c r="A22" s="6" t="s">
        <v>41</v>
      </c>
      <c r="B22" s="16">
        <v>1.2342666666666666</v>
      </c>
      <c r="C22" s="16">
        <v>0.15563500000000002</v>
      </c>
      <c r="D22" s="15"/>
      <c r="E22" s="6" t="str">
        <f t="shared" si="0"/>
        <v xml:space="preserve">T5 6/6/24 21:00 </v>
      </c>
      <c r="F22" s="12">
        <f t="shared" si="1"/>
        <v>102.76392438964145</v>
      </c>
      <c r="G22" s="12">
        <f t="shared" si="2"/>
        <v>11.111468083131644</v>
      </c>
    </row>
    <row r="23" spans="1:7" x14ac:dyDescent="0.25">
      <c r="A23" s="6" t="s">
        <v>42</v>
      </c>
      <c r="B23" s="16">
        <v>1.0782666666666669</v>
      </c>
      <c r="C23" s="16">
        <v>0.16802500000000001</v>
      </c>
      <c r="E23" s="6" t="str">
        <f t="shared" si="0"/>
        <v xml:space="preserve">T6 6/6/24 21:00 </v>
      </c>
      <c r="F23" s="12">
        <f t="shared" si="1"/>
        <v>89.775505729613329</v>
      </c>
      <c r="G23" s="12">
        <f t="shared" si="2"/>
        <v>11.996044750012494</v>
      </c>
    </row>
    <row r="24" spans="1:7" x14ac:dyDescent="0.25">
      <c r="A24" s="19" t="s">
        <v>28</v>
      </c>
      <c r="B24" s="20">
        <v>-7.7999999999999996E-3</v>
      </c>
      <c r="C24" s="20">
        <v>0</v>
      </c>
      <c r="E24" s="19" t="str">
        <f t="shared" si="0"/>
        <v>DIW</v>
      </c>
      <c r="F24" s="21">
        <f t="shared" si="1"/>
        <v>-0.64942093300140713</v>
      </c>
      <c r="G24" s="21">
        <f t="shared" si="2"/>
        <v>0</v>
      </c>
    </row>
    <row r="25" spans="1:7" x14ac:dyDescent="0.25">
      <c r="A25" s="19" t="s">
        <v>27</v>
      </c>
      <c r="B25" s="20">
        <v>0.89390000000000003</v>
      </c>
      <c r="C25" s="20">
        <v>5.885E-2</v>
      </c>
      <c r="E25" s="19" t="str">
        <f t="shared" si="0"/>
        <v>LNSW</v>
      </c>
      <c r="F25" s="21">
        <f t="shared" si="1"/>
        <v>74.425304103840745</v>
      </c>
      <c r="G25" s="21">
        <f t="shared" si="2"/>
        <v>4.2015606816737705</v>
      </c>
    </row>
    <row r="26" spans="1:7" x14ac:dyDescent="0.25">
      <c r="A26" s="19" t="s">
        <v>31</v>
      </c>
      <c r="B26" s="20">
        <v>0.50446666666666695</v>
      </c>
      <c r="C26" s="20">
        <v>0.44792500000000002</v>
      </c>
      <c r="E26" s="19" t="str">
        <f t="shared" si="0"/>
        <v>DSWR [B24,L05-24]</v>
      </c>
      <c r="F26" s="21">
        <f t="shared" si="1"/>
        <v>42.001437607022652</v>
      </c>
      <c r="G26" s="21">
        <f t="shared" si="2"/>
        <v>31.979338459451551</v>
      </c>
    </row>
    <row r="27" spans="1:7" x14ac:dyDescent="0.25">
      <c r="A27" s="6" t="s">
        <v>43</v>
      </c>
      <c r="B27" s="16">
        <v>1.2592666666666665</v>
      </c>
      <c r="C27" s="16">
        <v>0.18182500000000001</v>
      </c>
      <c r="E27" s="6" t="str">
        <f t="shared" si="0"/>
        <v xml:space="preserve">T7 6/6/24 21:00 </v>
      </c>
      <c r="F27" s="12">
        <f t="shared" si="1"/>
        <v>104.84540173900493</v>
      </c>
      <c r="G27" s="12">
        <f t="shared" si="2"/>
        <v>12.98128752668366</v>
      </c>
    </row>
    <row r="28" spans="1:7" x14ac:dyDescent="0.25">
      <c r="A28" s="6" t="s">
        <v>44</v>
      </c>
      <c r="B28" s="16">
        <v>1.1412666666666667</v>
      </c>
      <c r="C28" s="16">
        <v>0.152175</v>
      </c>
      <c r="E28" s="6" t="str">
        <f t="shared" si="0"/>
        <v xml:space="preserve">T8 6/6/24 21:00 </v>
      </c>
      <c r="F28" s="12">
        <f t="shared" si="1"/>
        <v>95.020828650009292</v>
      </c>
      <c r="G28" s="12">
        <f t="shared" si="2"/>
        <v>10.864443444922788</v>
      </c>
    </row>
    <row r="29" spans="1:7" x14ac:dyDescent="0.25">
      <c r="A29" s="6" t="s">
        <v>45</v>
      </c>
      <c r="B29" s="16">
        <v>1.6742666666666666</v>
      </c>
      <c r="C29" s="16">
        <v>0.17072500000000002</v>
      </c>
      <c r="E29" s="6" t="str">
        <f t="shared" si="0"/>
        <v xml:space="preserve">T9 6/6/24 21:00 </v>
      </c>
      <c r="F29" s="12">
        <f t="shared" si="1"/>
        <v>139.39792573843877</v>
      </c>
      <c r="G29" s="12">
        <f t="shared" si="2"/>
        <v>12.188809641100331</v>
      </c>
    </row>
    <row r="30" spans="1:7" x14ac:dyDescent="0.25">
      <c r="A30" s="6" t="s">
        <v>46</v>
      </c>
      <c r="B30" s="16">
        <v>1.1522666666666668</v>
      </c>
      <c r="C30" s="16">
        <v>0.18642500000000001</v>
      </c>
      <c r="E30" s="6" t="str">
        <f t="shared" si="0"/>
        <v xml:space="preserve">T10 6/6/24 21:00 </v>
      </c>
      <c r="F30" s="12">
        <f t="shared" si="1"/>
        <v>95.936678683729241</v>
      </c>
      <c r="G30" s="12">
        <f t="shared" si="2"/>
        <v>13.309701785574047</v>
      </c>
    </row>
    <row r="31" spans="1:7" x14ac:dyDescent="0.25">
      <c r="A31" s="6" t="s">
        <v>47</v>
      </c>
      <c r="B31" s="16">
        <v>1.2762666666666669</v>
      </c>
      <c r="C31" s="16">
        <v>0.19082500000000002</v>
      </c>
      <c r="E31" s="6" t="str">
        <f t="shared" si="0"/>
        <v xml:space="preserve">T11 6/6/24 21:00 </v>
      </c>
      <c r="F31" s="12">
        <f t="shared" si="1"/>
        <v>106.26080633657213</v>
      </c>
      <c r="G31" s="12">
        <f t="shared" si="2"/>
        <v>13.623837163643115</v>
      </c>
    </row>
    <row r="32" spans="1:7" x14ac:dyDescent="0.25">
      <c r="A32" s="6" t="s">
        <v>48</v>
      </c>
      <c r="B32" s="16">
        <v>1.1772666666666667</v>
      </c>
      <c r="C32" s="16">
        <v>0.17062500000000003</v>
      </c>
      <c r="D32" s="15"/>
      <c r="E32" s="6" t="str">
        <f t="shared" si="0"/>
        <v xml:space="preserve">T12 6/6/24 21:00 </v>
      </c>
      <c r="F32" s="12">
        <f t="shared" si="1"/>
        <v>98.018156033092723</v>
      </c>
      <c r="G32" s="12">
        <f t="shared" si="2"/>
        <v>12.181670200689672</v>
      </c>
    </row>
    <row r="33" spans="1:7" x14ac:dyDescent="0.25">
      <c r="A33" s="6" t="s">
        <v>49</v>
      </c>
      <c r="B33" s="16">
        <v>1.1242666666666667</v>
      </c>
      <c r="C33" s="16">
        <v>0.16331500000000002</v>
      </c>
      <c r="D33" s="15"/>
      <c r="E33" s="6" t="str">
        <f t="shared" si="0"/>
        <v xml:space="preserve">T13 6/6/24 21:00 </v>
      </c>
      <c r="F33" s="12">
        <f t="shared" si="1"/>
        <v>93.605424052442146</v>
      </c>
      <c r="G33" s="12">
        <f t="shared" si="2"/>
        <v>11.659777106670381</v>
      </c>
    </row>
    <row r="34" spans="1:7" x14ac:dyDescent="0.25">
      <c r="A34" s="6" t="s">
        <v>50</v>
      </c>
      <c r="B34" s="16">
        <v>1.1392666666666669</v>
      </c>
      <c r="C34" s="16">
        <v>0.14991500000000002</v>
      </c>
      <c r="D34" s="15"/>
      <c r="E34" s="6" t="str">
        <f t="shared" si="0"/>
        <v xml:space="preserve">T14 6/6/24 21:00 </v>
      </c>
      <c r="F34" s="12">
        <f t="shared" si="1"/>
        <v>94.854310462060241</v>
      </c>
      <c r="G34" s="12">
        <f t="shared" si="2"/>
        <v>10.703092091641858</v>
      </c>
    </row>
    <row r="35" spans="1:7" x14ac:dyDescent="0.25">
      <c r="A35" s="6" t="s">
        <v>51</v>
      </c>
      <c r="B35" s="16">
        <v>1.2302666666666666</v>
      </c>
      <c r="C35" s="16">
        <v>0.28012500000000001</v>
      </c>
      <c r="E35" s="6" t="str">
        <f t="shared" si="0"/>
        <v xml:space="preserve">T15 6/6/24 21:00 </v>
      </c>
      <c r="F35" s="12">
        <f t="shared" si="1"/>
        <v>102.4308880137433</v>
      </c>
      <c r="G35" s="12">
        <f t="shared" si="2"/>
        <v>19.999357450363039</v>
      </c>
    </row>
    <row r="36" spans="1:7" x14ac:dyDescent="0.25">
      <c r="A36" s="6" t="s">
        <v>52</v>
      </c>
      <c r="B36" s="16">
        <v>1.114266666666667</v>
      </c>
      <c r="C36" s="16">
        <v>0.16031500000000001</v>
      </c>
      <c r="E36" s="6" t="str">
        <f>A36</f>
        <v xml:space="preserve">T16 6/6/24 21:00 </v>
      </c>
      <c r="F36" s="12">
        <f t="shared" si="1"/>
        <v>92.772833112696759</v>
      </c>
      <c r="G36" s="12">
        <f t="shared" si="2"/>
        <v>11.44559389435056</v>
      </c>
    </row>
    <row r="37" spans="1:7" x14ac:dyDescent="0.25">
      <c r="A37" s="19" t="s">
        <v>28</v>
      </c>
      <c r="B37" s="20">
        <v>-6.2100000000000002E-3</v>
      </c>
      <c r="C37" s="20">
        <v>0</v>
      </c>
      <c r="E37" s="19" t="str">
        <f t="shared" ref="E37:E65" si="6">A37</f>
        <v>DIW</v>
      </c>
      <c r="F37" s="21">
        <f t="shared" si="1"/>
        <v>-0.51703897358188955</v>
      </c>
      <c r="G37" s="21">
        <f t="shared" si="2"/>
        <v>0</v>
      </c>
    </row>
    <row r="38" spans="1:7" x14ac:dyDescent="0.25">
      <c r="A38" s="19" t="s">
        <v>27</v>
      </c>
      <c r="B38" s="20">
        <v>0.86839999999999995</v>
      </c>
      <c r="C38" s="20">
        <v>5.5149999999999998E-2</v>
      </c>
      <c r="D38" s="15"/>
      <c r="E38" s="19" t="str">
        <f t="shared" si="6"/>
        <v>LNSW</v>
      </c>
      <c r="F38" s="21">
        <f t="shared" si="1"/>
        <v>72.302197207489982</v>
      </c>
      <c r="G38" s="21">
        <f t="shared" si="2"/>
        <v>3.937401386479328</v>
      </c>
    </row>
    <row r="39" spans="1:7" x14ac:dyDescent="0.25">
      <c r="A39" s="19" t="s">
        <v>31</v>
      </c>
      <c r="B39" s="20">
        <v>0.50356666666666672</v>
      </c>
      <c r="C39" s="20">
        <v>0.44702500000000001</v>
      </c>
      <c r="D39" s="15"/>
      <c r="E39" s="19" t="str">
        <f t="shared" si="6"/>
        <v>DSWR [B24,L05-24]</v>
      </c>
      <c r="F39" s="21">
        <f t="shared" si="1"/>
        <v>41.926504422445547</v>
      </c>
      <c r="G39" s="21">
        <f t="shared" si="2"/>
        <v>31.915083495755599</v>
      </c>
    </row>
    <row r="40" spans="1:7" x14ac:dyDescent="0.25">
      <c r="A40" s="6" t="s">
        <v>53</v>
      </c>
      <c r="B40" s="16">
        <v>4.3752666666666666</v>
      </c>
      <c r="C40" s="16">
        <v>0.16892499999999999</v>
      </c>
      <c r="D40" s="15"/>
      <c r="E40" s="6" t="str">
        <f t="shared" si="6"/>
        <v xml:space="preserve">F1 6/11/24 12:00 </v>
      </c>
      <c r="F40" s="12">
        <f t="shared" si="1"/>
        <v>364.28073856366962</v>
      </c>
      <c r="G40" s="12">
        <f t="shared" si="2"/>
        <v>12.060299713708439</v>
      </c>
    </row>
    <row r="41" spans="1:7" x14ac:dyDescent="0.25">
      <c r="A41" s="6" t="s">
        <v>54</v>
      </c>
      <c r="B41" s="16">
        <v>1.0002666666666666</v>
      </c>
      <c r="C41" s="16">
        <v>0.15277499999999999</v>
      </c>
      <c r="D41" s="15"/>
      <c r="E41" s="6" t="str">
        <f t="shared" si="6"/>
        <v xml:space="preserve">F2 6/11/24 12:00 </v>
      </c>
      <c r="F41" s="12">
        <f t="shared" si="1"/>
        <v>83.281296399599242</v>
      </c>
      <c r="G41" s="12">
        <f t="shared" si="2"/>
        <v>10.90728008738675</v>
      </c>
    </row>
    <row r="42" spans="1:7" x14ac:dyDescent="0.25">
      <c r="A42" s="6" t="s">
        <v>55</v>
      </c>
      <c r="B42" s="16">
        <v>3.5862666666666665</v>
      </c>
      <c r="C42" s="16">
        <v>0.202125</v>
      </c>
      <c r="D42" s="15"/>
      <c r="E42" s="6" t="str">
        <f t="shared" si="6"/>
        <v xml:space="preserve">T1 6/11/24 12:00 </v>
      </c>
      <c r="F42" s="12">
        <f t="shared" si="1"/>
        <v>298.58931341775804</v>
      </c>
      <c r="G42" s="12">
        <f t="shared" si="2"/>
        <v>14.430593930047763</v>
      </c>
    </row>
    <row r="43" spans="1:7" x14ac:dyDescent="0.25">
      <c r="A43" s="6" t="s">
        <v>56</v>
      </c>
      <c r="B43" s="16">
        <v>3.9932666666666665</v>
      </c>
      <c r="C43" s="16">
        <v>0.16214500000000001</v>
      </c>
      <c r="D43" s="15"/>
      <c r="E43" s="6" t="str">
        <f t="shared" si="6"/>
        <v xml:space="preserve">T2 6/11/24 12:00 </v>
      </c>
      <c r="F43" s="12">
        <f t="shared" si="1"/>
        <v>332.47576466539556</v>
      </c>
      <c r="G43" s="12">
        <f t="shared" si="2"/>
        <v>11.57624565386565</v>
      </c>
    </row>
    <row r="44" spans="1:7" x14ac:dyDescent="0.25">
      <c r="A44" s="6" t="s">
        <v>57</v>
      </c>
      <c r="B44" s="16">
        <v>1.0092666666666665</v>
      </c>
      <c r="C44" s="16">
        <v>0.17612500000000003</v>
      </c>
      <c r="E44" s="6" t="str">
        <f t="shared" si="6"/>
        <v xml:space="preserve">T3 6/11/24 12:00 </v>
      </c>
      <c r="F44" s="12">
        <f t="shared" si="1"/>
        <v>84.030628245370096</v>
      </c>
      <c r="G44" s="12">
        <f t="shared" si="2"/>
        <v>12.574339423276005</v>
      </c>
    </row>
    <row r="45" spans="1:7" x14ac:dyDescent="0.25">
      <c r="A45" s="6" t="s">
        <v>58</v>
      </c>
      <c r="B45" s="16">
        <v>3.5312666666666668</v>
      </c>
      <c r="C45" s="16">
        <v>0.16307500000000003</v>
      </c>
      <c r="E45" s="6" t="str">
        <f t="shared" si="6"/>
        <v xml:space="preserve">T4 6/11/24 12:00 </v>
      </c>
      <c r="F45" s="12">
        <f t="shared" si="1"/>
        <v>294.01006324915841</v>
      </c>
      <c r="G45" s="12">
        <f t="shared" si="2"/>
        <v>11.642642449684795</v>
      </c>
    </row>
    <row r="46" spans="1:7" x14ac:dyDescent="0.25">
      <c r="A46" s="6" t="s">
        <v>59</v>
      </c>
      <c r="B46" s="16">
        <v>1.7662666666666667</v>
      </c>
      <c r="C46" s="16">
        <v>0.31162500000000004</v>
      </c>
      <c r="E46" s="6" t="str">
        <f t="shared" si="6"/>
        <v xml:space="preserve">T5 6/11/24 12:00 </v>
      </c>
      <c r="F46" s="12">
        <f t="shared" si="1"/>
        <v>147.05776238409641</v>
      </c>
      <c r="G46" s="12">
        <f t="shared" si="2"/>
        <v>22.248281179721136</v>
      </c>
    </row>
    <row r="47" spans="1:7" x14ac:dyDescent="0.25">
      <c r="A47" s="6" t="s">
        <v>60</v>
      </c>
      <c r="B47" s="16">
        <v>1.5542666666666669</v>
      </c>
      <c r="C47" s="16">
        <v>0.32782500000000003</v>
      </c>
      <c r="E47" s="6" t="str">
        <f t="shared" si="6"/>
        <v xml:space="preserve">T6 6/11/24 12:00 </v>
      </c>
      <c r="F47" s="12">
        <f t="shared" si="1"/>
        <v>129.4068344614941</v>
      </c>
      <c r="G47" s="12">
        <f t="shared" si="2"/>
        <v>23.404870526248153</v>
      </c>
    </row>
    <row r="48" spans="1:7" x14ac:dyDescent="0.25">
      <c r="A48" s="6" t="s">
        <v>61</v>
      </c>
      <c r="B48" s="16">
        <v>1.4202666666666666</v>
      </c>
      <c r="C48" s="16">
        <v>0.32842500000000002</v>
      </c>
      <c r="E48" s="6" t="str">
        <f t="shared" si="6"/>
        <v xml:space="preserve">T7 6/11/24 12:00 </v>
      </c>
      <c r="F48" s="12">
        <f t="shared" si="1"/>
        <v>118.25011586890577</v>
      </c>
      <c r="G48" s="12">
        <f t="shared" si="2"/>
        <v>23.447707168712117</v>
      </c>
    </row>
    <row r="49" spans="1:7" x14ac:dyDescent="0.25">
      <c r="A49" s="6" t="s">
        <v>62</v>
      </c>
      <c r="B49" s="16">
        <v>1.6752666666666669</v>
      </c>
      <c r="C49" s="16">
        <v>0.39402500000000001</v>
      </c>
      <c r="E49" s="6" t="str">
        <f t="shared" si="6"/>
        <v xml:space="preserve">T8 6/11/24 12:00 </v>
      </c>
      <c r="F49" s="12">
        <f t="shared" si="1"/>
        <v>139.48118483241333</v>
      </c>
      <c r="G49" s="12">
        <f t="shared" si="2"/>
        <v>28.13118007810548</v>
      </c>
    </row>
    <row r="50" spans="1:7" x14ac:dyDescent="0.25">
      <c r="A50" s="19" t="s">
        <v>28</v>
      </c>
      <c r="B50" s="20">
        <v>-2.81E-3</v>
      </c>
      <c r="C50" s="20">
        <v>0</v>
      </c>
      <c r="E50" s="19" t="str">
        <f t="shared" si="6"/>
        <v>DIW</v>
      </c>
      <c r="F50" s="21">
        <f t="shared" si="1"/>
        <v>-0.23395805406845563</v>
      </c>
      <c r="G50" s="21">
        <f t="shared" si="2"/>
        <v>0</v>
      </c>
    </row>
    <row r="51" spans="1:7" x14ac:dyDescent="0.25">
      <c r="A51" s="19" t="s">
        <v>27</v>
      </c>
      <c r="B51" s="20">
        <v>0.86709999999999998</v>
      </c>
      <c r="C51" s="20">
        <v>5.5169999999999997E-2</v>
      </c>
      <c r="D51" s="15"/>
      <c r="E51" s="19" t="str">
        <f t="shared" si="6"/>
        <v>LNSW</v>
      </c>
      <c r="F51" s="21">
        <f t="shared" si="1"/>
        <v>72.193960385323081</v>
      </c>
      <c r="G51" s="21">
        <f t="shared" si="2"/>
        <v>3.9388292745614599</v>
      </c>
    </row>
    <row r="52" spans="1:7" x14ac:dyDescent="0.25">
      <c r="A52" s="19" t="s">
        <v>31</v>
      </c>
      <c r="B52" s="20">
        <v>0.51110666666666604</v>
      </c>
      <c r="C52" s="20">
        <v>0.436525</v>
      </c>
      <c r="D52" s="15"/>
      <c r="E52" s="19" t="str">
        <f t="shared" si="6"/>
        <v>DSWR [B24,L05-24]</v>
      </c>
      <c r="F52" s="21">
        <f t="shared" si="1"/>
        <v>42.554277991013514</v>
      </c>
      <c r="G52" s="21">
        <f t="shared" si="2"/>
        <v>31.165442252636236</v>
      </c>
    </row>
    <row r="53" spans="1:7" x14ac:dyDescent="0.25">
      <c r="A53" s="6" t="s">
        <v>72</v>
      </c>
      <c r="B53" s="16">
        <v>2.3132666666666668</v>
      </c>
      <c r="C53" s="16">
        <v>0.43082500000000001</v>
      </c>
      <c r="D53" s="15"/>
      <c r="E53" s="6" t="str">
        <f t="shared" si="6"/>
        <v xml:space="preserve">T9 6/11/24 12:00 </v>
      </c>
      <c r="F53" s="12">
        <f t="shared" si="1"/>
        <v>192.60048678816946</v>
      </c>
      <c r="G53" s="12">
        <f t="shared" si="2"/>
        <v>30.758494149228586</v>
      </c>
    </row>
    <row r="54" spans="1:7" x14ac:dyDescent="0.25">
      <c r="A54" s="6" t="s">
        <v>63</v>
      </c>
      <c r="B54" s="16">
        <v>1.5602666666666667</v>
      </c>
      <c r="C54" s="16">
        <v>0.30312499999999998</v>
      </c>
      <c r="D54" s="15"/>
      <c r="E54" s="6" t="str">
        <f t="shared" si="6"/>
        <v xml:space="preserve">T10 6/11/24 12:00 </v>
      </c>
      <c r="F54" s="12">
        <f t="shared" si="1"/>
        <v>129.9063890253413</v>
      </c>
      <c r="G54" s="12">
        <f t="shared" si="2"/>
        <v>21.641428744814977</v>
      </c>
    </row>
    <row r="55" spans="1:7" x14ac:dyDescent="0.25">
      <c r="A55" s="6" t="s">
        <v>64</v>
      </c>
      <c r="B55" s="16">
        <v>2.3832666666666666</v>
      </c>
      <c r="C55" s="16">
        <v>0.31782500000000002</v>
      </c>
      <c r="D55" s="15"/>
      <c r="E55" s="6" t="str">
        <f t="shared" si="6"/>
        <v xml:space="preserve">T11 6/11/24 12:00 </v>
      </c>
      <c r="F55" s="12">
        <f t="shared" si="1"/>
        <v>198.4286233663872</v>
      </c>
      <c r="G55" s="12">
        <f t="shared" si="2"/>
        <v>22.690926485182093</v>
      </c>
    </row>
    <row r="56" spans="1:7" x14ac:dyDescent="0.25">
      <c r="A56" s="6" t="s">
        <v>65</v>
      </c>
      <c r="B56" s="16">
        <v>1.4372666666666669</v>
      </c>
      <c r="C56" s="16">
        <v>0.26252500000000001</v>
      </c>
      <c r="D56" s="15"/>
      <c r="E56" s="6" t="str">
        <f t="shared" si="6"/>
        <v xml:space="preserve">T12 6/11/24 12:00 </v>
      </c>
      <c r="F56" s="12">
        <f t="shared" si="1"/>
        <v>119.66552046647297</v>
      </c>
      <c r="G56" s="12">
        <f t="shared" si="2"/>
        <v>18.742815938086775</v>
      </c>
    </row>
    <row r="57" spans="1:7" x14ac:dyDescent="0.25">
      <c r="A57" s="6" t="s">
        <v>66</v>
      </c>
      <c r="B57" s="16">
        <v>1.4792666666666667</v>
      </c>
      <c r="C57" s="16">
        <v>0.26282499999999998</v>
      </c>
      <c r="E57" s="6" t="str">
        <f t="shared" si="6"/>
        <v xml:space="preserve">T13 6/11/24 12:00 </v>
      </c>
      <c r="F57" s="12">
        <f t="shared" si="1"/>
        <v>123.16240241340361</v>
      </c>
      <c r="G57" s="12">
        <f t="shared" si="2"/>
        <v>18.764234259318751</v>
      </c>
    </row>
    <row r="58" spans="1:7" x14ac:dyDescent="0.25">
      <c r="A58" s="6" t="s">
        <v>67</v>
      </c>
      <c r="B58" s="16">
        <v>2.0622666666666665</v>
      </c>
      <c r="C58" s="16">
        <v>0.33472499999999999</v>
      </c>
      <c r="E58" s="6" t="str">
        <f t="shared" si="6"/>
        <v xml:space="preserve">T14 6/11/24 12:00 </v>
      </c>
      <c r="F58" s="12">
        <f t="shared" si="1"/>
        <v>171.70245420056006</v>
      </c>
      <c r="G58" s="12">
        <f t="shared" si="2"/>
        <v>23.897491914583735</v>
      </c>
    </row>
    <row r="59" spans="1:7" x14ac:dyDescent="0.25">
      <c r="A59" s="6" t="s">
        <v>68</v>
      </c>
      <c r="B59" s="16">
        <v>1.2462666666666666</v>
      </c>
      <c r="C59" s="16">
        <v>0.25282500000000002</v>
      </c>
      <c r="E59" s="6" t="str">
        <f t="shared" si="6"/>
        <v xml:space="preserve">T15 6/11/24 12:00 </v>
      </c>
      <c r="F59" s="12">
        <f t="shared" si="1"/>
        <v>103.76303351733593</v>
      </c>
      <c r="G59" s="12">
        <f t="shared" si="2"/>
        <v>18.050290218252695</v>
      </c>
    </row>
    <row r="60" spans="1:7" x14ac:dyDescent="0.25">
      <c r="A60" s="6" t="s">
        <v>69</v>
      </c>
      <c r="B60" s="16">
        <v>1.3072666666666666</v>
      </c>
      <c r="C60" s="16">
        <v>0.26372499999999999</v>
      </c>
      <c r="E60" s="6" t="str">
        <f t="shared" si="6"/>
        <v xml:space="preserve">T16 6/11/24 12:00 </v>
      </c>
      <c r="F60" s="12">
        <f t="shared" si="1"/>
        <v>108.84183824978282</v>
      </c>
      <c r="G60" s="12">
        <f t="shared" si="2"/>
        <v>18.828489223014696</v>
      </c>
    </row>
    <row r="61" spans="1:7" x14ac:dyDescent="0.25">
      <c r="A61" s="6" t="s">
        <v>70</v>
      </c>
      <c r="B61" s="16">
        <v>1.0652666666666666</v>
      </c>
      <c r="C61" s="16">
        <v>0.40962500000000002</v>
      </c>
      <c r="E61" s="6" t="str">
        <f t="shared" si="6"/>
        <v xml:space="preserve">F1 6/11/24 21:00 </v>
      </c>
      <c r="F61" s="12">
        <f t="shared" si="1"/>
        <v>88.6931375079443</v>
      </c>
      <c r="G61" s="12">
        <f t="shared" si="2"/>
        <v>29.244932782168533</v>
      </c>
    </row>
    <row r="62" spans="1:7" x14ac:dyDescent="0.25">
      <c r="A62" s="6" t="s">
        <v>71</v>
      </c>
      <c r="B62" s="16">
        <v>1.3122666666666669</v>
      </c>
      <c r="C62" s="16">
        <v>0.42232500000000001</v>
      </c>
      <c r="E62" s="6" t="str">
        <f t="shared" si="6"/>
        <v xml:space="preserve">F2 6/11/24 21:00 </v>
      </c>
      <c r="F62" s="12">
        <f t="shared" si="1"/>
        <v>109.25813371965555</v>
      </c>
      <c r="G62" s="12">
        <f t="shared" si="2"/>
        <v>30.15164171432243</v>
      </c>
    </row>
    <row r="63" spans="1:7" x14ac:dyDescent="0.25">
      <c r="A63" s="19" t="s">
        <v>28</v>
      </c>
      <c r="B63" s="20">
        <v>-9.4400000000000005E-3</v>
      </c>
      <c r="C63" s="20">
        <v>0</v>
      </c>
      <c r="E63" s="19" t="str">
        <f t="shared" si="6"/>
        <v>DIW</v>
      </c>
      <c r="F63" s="21">
        <f t="shared" si="1"/>
        <v>-0.78596584711965167</v>
      </c>
      <c r="G63" s="21">
        <f t="shared" si="2"/>
        <v>0</v>
      </c>
    </row>
    <row r="64" spans="1:7" x14ac:dyDescent="0.25">
      <c r="A64" s="19" t="s">
        <v>27</v>
      </c>
      <c r="B64" s="20">
        <v>0.88939999999999997</v>
      </c>
      <c r="C64" s="20">
        <v>5.45E-2</v>
      </c>
      <c r="E64" s="19" t="str">
        <f t="shared" si="6"/>
        <v>LNSW</v>
      </c>
      <c r="F64" s="21">
        <f t="shared" ref="F64:F65" si="7">B64/12.0107*1000</f>
        <v>74.050638180955303</v>
      </c>
      <c r="G64" s="21">
        <f t="shared" ref="G64:G65" si="8">C64/14.0067*1000</f>
        <v>3.8909950238100337</v>
      </c>
    </row>
    <row r="65" spans="1:7" x14ac:dyDescent="0.25">
      <c r="A65" s="19" t="s">
        <v>31</v>
      </c>
      <c r="B65" s="20">
        <v>0.5098666666666668</v>
      </c>
      <c r="C65" s="20">
        <v>0.44312499999999999</v>
      </c>
      <c r="E65" s="19" t="str">
        <f t="shared" si="6"/>
        <v>DSWR [B24,L05-24]</v>
      </c>
      <c r="F65" s="21">
        <f t="shared" si="7"/>
        <v>42.451036714485149</v>
      </c>
      <c r="G65" s="21">
        <f t="shared" si="8"/>
        <v>31.636645319739838</v>
      </c>
    </row>
    <row r="66" spans="1:7" x14ac:dyDescent="0.25">
      <c r="A66" s="6" t="s">
        <v>165</v>
      </c>
      <c r="B66" s="16">
        <v>1.3112666666666666</v>
      </c>
      <c r="C66" s="16">
        <v>0.41892499999999999</v>
      </c>
      <c r="E66" s="36" t="str">
        <f t="shared" ref="E66:E78" si="9">A66</f>
        <v xml:space="preserve">T1 6/11/24 21:00 </v>
      </c>
      <c r="F66" s="35">
        <f t="shared" ref="F66:F78" si="10">B66/12.0107*1000</f>
        <v>109.17487462568099</v>
      </c>
      <c r="G66" s="35">
        <f t="shared" ref="G66:G78" si="11">C66/14.0067*1000</f>
        <v>29.908900740359972</v>
      </c>
    </row>
    <row r="67" spans="1:7" x14ac:dyDescent="0.25">
      <c r="A67" s="6" t="s">
        <v>166</v>
      </c>
      <c r="B67" s="16">
        <v>4.1832666666666665</v>
      </c>
      <c r="C67" s="16">
        <v>0.17182500000000001</v>
      </c>
      <c r="E67" s="36" t="str">
        <f t="shared" si="9"/>
        <v xml:space="preserve">T2 6/11/24 21:00 </v>
      </c>
      <c r="F67" s="35">
        <f t="shared" si="10"/>
        <v>348.29499252055808</v>
      </c>
      <c r="G67" s="35">
        <f t="shared" si="11"/>
        <v>12.267343485617598</v>
      </c>
    </row>
    <row r="68" spans="1:7" x14ac:dyDescent="0.25">
      <c r="A68" s="6" t="s">
        <v>167</v>
      </c>
      <c r="B68" s="16">
        <v>1.7172666666666667</v>
      </c>
      <c r="C68" s="16">
        <v>0.38452500000000001</v>
      </c>
      <c r="E68" s="36" t="str">
        <f t="shared" si="9"/>
        <v xml:space="preserve">T3 6/11/24 21:00 </v>
      </c>
      <c r="F68" s="35">
        <f t="shared" si="10"/>
        <v>142.97806677934398</v>
      </c>
      <c r="G68" s="35">
        <f t="shared" si="11"/>
        <v>27.452933239092719</v>
      </c>
    </row>
    <row r="69" spans="1:7" x14ac:dyDescent="0.25">
      <c r="A69" s="6" t="s">
        <v>168</v>
      </c>
      <c r="B69" s="16">
        <v>1.6502666666666665</v>
      </c>
      <c r="C69" s="16">
        <v>0.43402499999999999</v>
      </c>
      <c r="E69" s="36" t="str">
        <f t="shared" si="9"/>
        <v xml:space="preserve">T4 6/11/24 21:00 </v>
      </c>
      <c r="F69" s="35">
        <f t="shared" si="10"/>
        <v>137.39970748304984</v>
      </c>
      <c r="G69" s="35">
        <f t="shared" si="11"/>
        <v>30.986956242369722</v>
      </c>
    </row>
    <row r="70" spans="1:7" x14ac:dyDescent="0.25">
      <c r="A70" s="6" t="s">
        <v>169</v>
      </c>
      <c r="B70" s="16">
        <v>1.2912666666666666</v>
      </c>
      <c r="C70" s="16">
        <v>0.27222500000000005</v>
      </c>
      <c r="E70" s="36" t="str">
        <f t="shared" si="9"/>
        <v xml:space="preserve">T5 6/11/24 21:00 </v>
      </c>
      <c r="F70" s="35">
        <f t="shared" si="10"/>
        <v>107.5096927461902</v>
      </c>
      <c r="G70" s="35">
        <f t="shared" si="11"/>
        <v>19.435341657920855</v>
      </c>
    </row>
    <row r="71" spans="1:7" x14ac:dyDescent="0.25">
      <c r="A71" s="6" t="s">
        <v>170</v>
      </c>
      <c r="B71" s="16">
        <v>0.81746666666666679</v>
      </c>
      <c r="C71" s="16">
        <v>0.16015499999999999</v>
      </c>
      <c r="E71" s="36" t="str">
        <f t="shared" si="9"/>
        <v xml:space="preserve">T6 6/11/24 21:00 </v>
      </c>
      <c r="F71" s="35">
        <f t="shared" si="10"/>
        <v>68.061534021053461</v>
      </c>
      <c r="G71" s="35">
        <f t="shared" si="11"/>
        <v>11.434170789693503</v>
      </c>
    </row>
    <row r="72" spans="1:7" x14ac:dyDescent="0.25">
      <c r="A72" s="6" t="s">
        <v>171</v>
      </c>
      <c r="B72" s="16">
        <v>1.0812666666666666</v>
      </c>
      <c r="C72" s="16">
        <v>0.38022500000000004</v>
      </c>
      <c r="E72" s="36" t="str">
        <f t="shared" si="9"/>
        <v xml:space="preserve">T7 6/11/24 21:00 </v>
      </c>
      <c r="F72" s="35">
        <f t="shared" si="10"/>
        <v>90.025283011536942</v>
      </c>
      <c r="G72" s="35">
        <f t="shared" si="11"/>
        <v>27.145937301434316</v>
      </c>
    </row>
    <row r="73" spans="1:7" x14ac:dyDescent="0.25">
      <c r="A73" s="6" t="s">
        <v>172</v>
      </c>
      <c r="B73" s="16">
        <v>4.2802666666666669</v>
      </c>
      <c r="C73" s="16">
        <v>0.174925</v>
      </c>
      <c r="E73" s="36" t="str">
        <f t="shared" si="9"/>
        <v xml:space="preserve">T8 6/11/24 21:00 </v>
      </c>
      <c r="F73" s="35">
        <f t="shared" si="10"/>
        <v>356.37112463608838</v>
      </c>
      <c r="G73" s="35">
        <f t="shared" si="11"/>
        <v>12.488666138348075</v>
      </c>
    </row>
    <row r="74" spans="1:7" x14ac:dyDescent="0.25">
      <c r="A74" s="6" t="s">
        <v>173</v>
      </c>
      <c r="B74" s="16">
        <v>0.94156666666666677</v>
      </c>
      <c r="C74" s="16">
        <v>0.22802500000000001</v>
      </c>
      <c r="E74" s="36" t="str">
        <f t="shared" si="9"/>
        <v xml:space="preserve">T9 6/11/24 21:00 </v>
      </c>
      <c r="F74" s="35">
        <f t="shared" si="10"/>
        <v>78.393987583293807</v>
      </c>
      <c r="G74" s="35">
        <f t="shared" si="11"/>
        <v>16.279708996408861</v>
      </c>
    </row>
    <row r="75" spans="1:7" x14ac:dyDescent="0.25">
      <c r="A75" s="6" t="s">
        <v>174</v>
      </c>
      <c r="B75" s="16">
        <v>0.9060666666666668</v>
      </c>
      <c r="C75" s="16">
        <v>0.19482500000000003</v>
      </c>
      <c r="E75" s="36" t="str">
        <f t="shared" si="9"/>
        <v xml:space="preserve">T10 6/11/24 21:00 </v>
      </c>
      <c r="F75" s="35">
        <f t="shared" si="10"/>
        <v>75.438289747197643</v>
      </c>
      <c r="G75" s="35">
        <f t="shared" si="11"/>
        <v>13.90941478006954</v>
      </c>
    </row>
    <row r="76" spans="1:7" x14ac:dyDescent="0.25">
      <c r="A76" s="22" t="s">
        <v>28</v>
      </c>
      <c r="B76" s="20">
        <v>-1.1199999999999999E-3</v>
      </c>
      <c r="C76" s="20">
        <v>0</v>
      </c>
      <c r="E76" s="19" t="str">
        <f t="shared" si="9"/>
        <v>DIW</v>
      </c>
      <c r="F76" s="21">
        <f t="shared" si="10"/>
        <v>-9.3250185251484097E-2</v>
      </c>
      <c r="G76" s="21">
        <f t="shared" si="11"/>
        <v>0</v>
      </c>
    </row>
    <row r="77" spans="1:7" x14ac:dyDescent="0.25">
      <c r="A77" s="22" t="s">
        <v>27</v>
      </c>
      <c r="B77" s="20">
        <v>0.89070000000000005</v>
      </c>
      <c r="C77" s="20">
        <v>6.1740000000000003E-2</v>
      </c>
      <c r="E77" s="19" t="str">
        <f t="shared" si="9"/>
        <v>LNSW</v>
      </c>
      <c r="F77" s="21">
        <f t="shared" si="10"/>
        <v>74.158875003122219</v>
      </c>
      <c r="G77" s="21">
        <f t="shared" si="11"/>
        <v>4.4078905095418621</v>
      </c>
    </row>
    <row r="78" spans="1:7" x14ac:dyDescent="0.25">
      <c r="A78" s="22" t="s">
        <v>31</v>
      </c>
      <c r="B78" s="20">
        <v>0.50426666666666675</v>
      </c>
      <c r="C78" s="20">
        <v>0.44272499999999998</v>
      </c>
      <c r="E78" s="19" t="str">
        <f t="shared" si="9"/>
        <v>DSWR [B24,L05-24]</v>
      </c>
      <c r="F78" s="21">
        <f t="shared" si="10"/>
        <v>41.984785788227732</v>
      </c>
      <c r="G78" s="21">
        <f t="shared" si="11"/>
        <v>31.608087558097193</v>
      </c>
    </row>
  </sheetData>
  <mergeCells count="3">
    <mergeCell ref="D1:G2"/>
    <mergeCell ref="D3:G3"/>
    <mergeCell ref="D4:G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BC0C-B63E-4F23-AD13-7E3E45EECCC7}">
  <dimension ref="A1:G81"/>
  <sheetViews>
    <sheetView topLeftCell="A45" zoomScaleNormal="100" workbookViewId="0">
      <selection activeCell="B5" sqref="B5"/>
    </sheetView>
  </sheetViews>
  <sheetFormatPr defaultRowHeight="15" x14ac:dyDescent="0.25"/>
  <cols>
    <col min="1" max="1" width="47.28515625" bestFit="1" customWidth="1"/>
    <col min="2" max="2" width="37.140625" bestFit="1" customWidth="1"/>
    <col min="3" max="3" width="14.5703125" customWidth="1"/>
    <col min="5" max="5" width="42.140625" bestFit="1" customWidth="1"/>
    <col min="6" max="6" width="15.5703125" customWidth="1"/>
    <col min="7" max="7" width="14" customWidth="1"/>
  </cols>
  <sheetData>
    <row r="1" spans="1:7" x14ac:dyDescent="0.25">
      <c r="A1" s="1" t="s">
        <v>0</v>
      </c>
      <c r="B1" s="2" t="s">
        <v>1</v>
      </c>
      <c r="D1" s="23" t="s">
        <v>2</v>
      </c>
      <c r="E1" s="24"/>
      <c r="F1" s="24"/>
      <c r="G1" s="25"/>
    </row>
    <row r="2" spans="1:7" ht="15.75" thickBot="1" x14ac:dyDescent="0.3">
      <c r="A2" s="1" t="s">
        <v>3</v>
      </c>
      <c r="B2" s="2">
        <v>1</v>
      </c>
      <c r="D2" s="26"/>
      <c r="E2" s="27"/>
      <c r="F2" s="27"/>
      <c r="G2" s="28"/>
    </row>
    <row r="3" spans="1:7" x14ac:dyDescent="0.25">
      <c r="A3" s="1" t="s">
        <v>4</v>
      </c>
      <c r="B3" s="14" t="s">
        <v>17</v>
      </c>
      <c r="D3" s="29" t="s">
        <v>29</v>
      </c>
      <c r="E3" s="30"/>
      <c r="F3" s="30"/>
      <c r="G3" s="31"/>
    </row>
    <row r="4" spans="1:7" ht="15.75" thickBot="1" x14ac:dyDescent="0.3">
      <c r="A4" s="1" t="s">
        <v>5</v>
      </c>
      <c r="B4" s="17">
        <v>45580</v>
      </c>
      <c r="C4" s="3"/>
      <c r="D4" s="32" t="s">
        <v>30</v>
      </c>
      <c r="E4" s="33"/>
      <c r="F4" s="33"/>
      <c r="G4" s="34"/>
    </row>
    <row r="5" spans="1:7" x14ac:dyDescent="0.25">
      <c r="A5" s="1" t="s">
        <v>6</v>
      </c>
      <c r="B5" s="18" t="s">
        <v>35</v>
      </c>
    </row>
    <row r="7" spans="1:7" ht="15" customHeight="1" x14ac:dyDescent="0.25"/>
    <row r="9" spans="1:7" x14ac:dyDescent="0.25">
      <c r="A9" s="4" t="s">
        <v>7</v>
      </c>
    </row>
    <row r="10" spans="1:7" x14ac:dyDescent="0.25">
      <c r="A10" s="5" t="s">
        <v>8</v>
      </c>
      <c r="B10" s="6" t="s">
        <v>9</v>
      </c>
    </row>
    <row r="11" spans="1:7" x14ac:dyDescent="0.25">
      <c r="A11" s="7"/>
      <c r="B11" s="10"/>
    </row>
    <row r="12" spans="1:7" x14ac:dyDescent="0.25">
      <c r="A12" t="s">
        <v>10</v>
      </c>
      <c r="E12" t="s">
        <v>11</v>
      </c>
    </row>
    <row r="13" spans="1:7" x14ac:dyDescent="0.25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5">
      <c r="A14" s="19" t="s">
        <v>28</v>
      </c>
      <c r="B14" s="20">
        <v>3.81E-3</v>
      </c>
      <c r="C14" s="20">
        <v>0</v>
      </c>
      <c r="E14" s="19" t="str">
        <f>A14</f>
        <v>DIW</v>
      </c>
      <c r="F14" s="21">
        <f>B14/12.0107*1000</f>
        <v>0.31721714804299495</v>
      </c>
      <c r="G14" s="21">
        <f>C14/14.0067*1000</f>
        <v>0</v>
      </c>
    </row>
    <row r="15" spans="1:7" x14ac:dyDescent="0.25">
      <c r="A15" s="19" t="s">
        <v>27</v>
      </c>
      <c r="B15" s="20">
        <v>0.95140000000000002</v>
      </c>
      <c r="C15" s="20">
        <v>5.7189999999999998E-2</v>
      </c>
      <c r="E15" s="19" t="str">
        <f>A15</f>
        <v>LNSW</v>
      </c>
      <c r="F15" s="21">
        <f>B15/12.0107*1000</f>
        <v>79.212702007376762</v>
      </c>
      <c r="G15" s="21">
        <f>C15/14.0067*1000</f>
        <v>4.0830459708568041</v>
      </c>
    </row>
    <row r="16" spans="1:7" x14ac:dyDescent="0.25">
      <c r="A16" s="19" t="s">
        <v>31</v>
      </c>
      <c r="B16" s="20">
        <v>0.50490833333333296</v>
      </c>
      <c r="C16" s="20">
        <v>0.44447499999999995</v>
      </c>
      <c r="E16" s="19" t="str">
        <f>A16</f>
        <v>DSWR [B24,L05-24]</v>
      </c>
      <c r="F16" s="21">
        <f>B16/12.0107*1000</f>
        <v>42.038210373528024</v>
      </c>
      <c r="G16" s="21">
        <f>C16/14.0067*1000</f>
        <v>31.733027765283751</v>
      </c>
    </row>
    <row r="17" spans="1:7" x14ac:dyDescent="0.25">
      <c r="A17" s="6" t="s">
        <v>73</v>
      </c>
      <c r="B17" s="16">
        <v>2.4466083333333337</v>
      </c>
      <c r="C17" s="16">
        <v>0.46157499999999996</v>
      </c>
      <c r="D17" s="15"/>
      <c r="E17" s="6" t="str">
        <f t="shared" ref="E17:E18" si="0">A17</f>
        <v xml:space="preserve">T11 6/11/24 21:00 </v>
      </c>
      <c r="F17" s="12">
        <f t="shared" ref="F17:F18" si="1">B17/12.0107*1000</f>
        <v>203.70239314389119</v>
      </c>
      <c r="G17" s="12">
        <f t="shared" ref="G17:G18" si="2">C17/14.0067*1000</f>
        <v>32.953872075506723</v>
      </c>
    </row>
    <row r="18" spans="1:7" x14ac:dyDescent="0.25">
      <c r="A18" s="6" t="s">
        <v>74</v>
      </c>
      <c r="B18" s="16">
        <v>1.1326083333333332</v>
      </c>
      <c r="C18" s="16">
        <v>0.41007499999999997</v>
      </c>
      <c r="D18" s="15"/>
      <c r="E18" s="6" t="str">
        <f t="shared" si="0"/>
        <v xml:space="preserve">T12 6/11/24 21:00 </v>
      </c>
      <c r="F18" s="12">
        <f t="shared" si="1"/>
        <v>94.299943661346404</v>
      </c>
      <c r="G18" s="12">
        <f t="shared" si="2"/>
        <v>29.277060264016505</v>
      </c>
    </row>
    <row r="19" spans="1:7" x14ac:dyDescent="0.25">
      <c r="A19" s="6" t="s">
        <v>75</v>
      </c>
      <c r="B19" s="16">
        <v>1.6806083333333333</v>
      </c>
      <c r="C19" s="16">
        <v>0.49017499999999997</v>
      </c>
      <c r="D19" s="15"/>
      <c r="E19" s="6" t="str">
        <f>A19</f>
        <v xml:space="preserve">T13 6/11/24 21:00 </v>
      </c>
      <c r="F19" s="12">
        <f>B19/12.0107*1000</f>
        <v>139.92592715939398</v>
      </c>
      <c r="G19" s="12">
        <f>C19/14.0067*1000</f>
        <v>34.995752032955657</v>
      </c>
    </row>
    <row r="20" spans="1:7" x14ac:dyDescent="0.25">
      <c r="A20" s="6" t="s">
        <v>76</v>
      </c>
      <c r="B20" s="16">
        <v>1.0966083333333332</v>
      </c>
      <c r="C20" s="16">
        <v>0.463675</v>
      </c>
      <c r="D20" s="15"/>
      <c r="E20" s="6" t="str">
        <f t="shared" ref="E20:E38" si="3">A20</f>
        <v xml:space="preserve">T14 6/11/24 21:00 </v>
      </c>
      <c r="F20" s="12">
        <f t="shared" ref="F20:F55" si="4">B20/12.0107*1000</f>
        <v>91.302616278262988</v>
      </c>
      <c r="G20" s="12">
        <f t="shared" ref="G20:G55" si="5">C20/14.0067*1000</f>
        <v>33.103800324130596</v>
      </c>
    </row>
    <row r="21" spans="1:7" x14ac:dyDescent="0.25">
      <c r="A21" s="6" t="s">
        <v>77</v>
      </c>
      <c r="B21" s="16">
        <v>2.8256083333333337</v>
      </c>
      <c r="C21" s="16">
        <v>0.44937499999999997</v>
      </c>
      <c r="D21" s="15"/>
      <c r="E21" s="6" t="str">
        <f t="shared" si="3"/>
        <v xml:space="preserve">T15 6/11/24 21:00 </v>
      </c>
      <c r="F21" s="12">
        <f t="shared" si="4"/>
        <v>235.25758976024161</v>
      </c>
      <c r="G21" s="12">
        <f t="shared" si="5"/>
        <v>32.082860345406125</v>
      </c>
    </row>
    <row r="22" spans="1:7" x14ac:dyDescent="0.25">
      <c r="A22" s="6" t="s">
        <v>78</v>
      </c>
      <c r="B22" s="16">
        <v>1.3186083333333336</v>
      </c>
      <c r="C22" s="16">
        <v>0.37477499999999997</v>
      </c>
      <c r="D22" s="15"/>
      <c r="E22" s="6" t="str">
        <f t="shared" si="3"/>
        <v xml:space="preserve">T16 6/11/24 21:00 </v>
      </c>
      <c r="F22" s="12">
        <f t="shared" si="4"/>
        <v>109.78613514061075</v>
      </c>
      <c r="G22" s="12">
        <f t="shared" si="5"/>
        <v>26.756837799053308</v>
      </c>
    </row>
    <row r="23" spans="1:7" x14ac:dyDescent="0.25">
      <c r="A23" s="6" t="s">
        <v>79</v>
      </c>
      <c r="B23" s="16">
        <v>1.2816083333333332</v>
      </c>
      <c r="C23" s="16">
        <v>0.42077499999999995</v>
      </c>
      <c r="D23" s="15"/>
      <c r="E23" s="6" t="str">
        <f t="shared" si="3"/>
        <v>IN_1 6/16/24 12:00</v>
      </c>
      <c r="F23" s="12">
        <f t="shared" si="4"/>
        <v>106.70554866355276</v>
      </c>
      <c r="G23" s="12">
        <f t="shared" si="5"/>
        <v>30.040980387957188</v>
      </c>
    </row>
    <row r="24" spans="1:7" x14ac:dyDescent="0.25">
      <c r="A24" s="6" t="s">
        <v>80</v>
      </c>
      <c r="B24" s="16">
        <v>1.0766083333333336</v>
      </c>
      <c r="C24" s="16">
        <v>0.37987499999999996</v>
      </c>
      <c r="D24" s="15"/>
      <c r="E24" s="6" t="str">
        <f t="shared" si="3"/>
        <v xml:space="preserve">IN_2 6/16/24 12:00 </v>
      </c>
      <c r="F24" s="12">
        <f t="shared" si="4"/>
        <v>89.637434398772228</v>
      </c>
      <c r="G24" s="12">
        <f t="shared" si="5"/>
        <v>27.120949259996998</v>
      </c>
    </row>
    <row r="25" spans="1:7" x14ac:dyDescent="0.25">
      <c r="A25" s="6" t="s">
        <v>81</v>
      </c>
      <c r="B25" s="16">
        <v>1.0706083333333334</v>
      </c>
      <c r="C25" s="16">
        <v>0.345775</v>
      </c>
      <c r="D25" s="15"/>
      <c r="E25" s="6" t="str">
        <f t="shared" si="3"/>
        <v xml:space="preserve">T7 6/16/24 12:00 </v>
      </c>
      <c r="F25" s="12">
        <f t="shared" si="4"/>
        <v>89.137879834924973</v>
      </c>
      <c r="G25" s="12">
        <f t="shared" si="5"/>
        <v>24.686400079961732</v>
      </c>
    </row>
    <row r="26" spans="1:7" x14ac:dyDescent="0.25">
      <c r="A26" s="6" t="s">
        <v>82</v>
      </c>
      <c r="B26" s="16">
        <v>2.3986083333333337</v>
      </c>
      <c r="C26" s="16">
        <v>0.53627500000000006</v>
      </c>
      <c r="E26" s="6" t="str">
        <f t="shared" si="3"/>
        <v xml:space="preserve">T8 6/16/24 12:00 </v>
      </c>
      <c r="F26" s="12">
        <f t="shared" si="4"/>
        <v>199.70595663311326</v>
      </c>
      <c r="G26" s="12">
        <f t="shared" si="5"/>
        <v>38.287034062270202</v>
      </c>
    </row>
    <row r="27" spans="1:7" x14ac:dyDescent="0.25">
      <c r="A27" s="19" t="s">
        <v>28</v>
      </c>
      <c r="B27" s="20">
        <v>1.866E-2</v>
      </c>
      <c r="C27" s="20">
        <v>0</v>
      </c>
      <c r="E27" s="19" t="str">
        <f t="shared" si="3"/>
        <v>DIW</v>
      </c>
      <c r="F27" s="21">
        <f t="shared" si="4"/>
        <v>1.5536146935649044</v>
      </c>
      <c r="G27" s="21">
        <f t="shared" si="5"/>
        <v>0</v>
      </c>
    </row>
    <row r="28" spans="1:7" x14ac:dyDescent="0.25">
      <c r="A28" s="19" t="s">
        <v>27</v>
      </c>
      <c r="B28" s="20">
        <v>0.91949999999999998</v>
      </c>
      <c r="C28" s="20">
        <v>6.0089999999999998E-2</v>
      </c>
      <c r="E28" s="19" t="str">
        <f t="shared" si="3"/>
        <v>LNSW</v>
      </c>
      <c r="F28" s="21">
        <f t="shared" si="4"/>
        <v>76.556736909588949</v>
      </c>
      <c r="G28" s="21">
        <f t="shared" si="5"/>
        <v>4.2900897427659617</v>
      </c>
    </row>
    <row r="29" spans="1:7" x14ac:dyDescent="0.25">
      <c r="A29" s="19" t="s">
        <v>31</v>
      </c>
      <c r="B29" s="20">
        <v>0.50980833333333297</v>
      </c>
      <c r="C29" s="20">
        <v>0.44447499999999995</v>
      </c>
      <c r="E29" s="19" t="str">
        <f t="shared" si="3"/>
        <v>DSWR [B24,L05-24]</v>
      </c>
      <c r="F29" s="21">
        <f t="shared" si="4"/>
        <v>42.446179934003261</v>
      </c>
      <c r="G29" s="21">
        <f t="shared" si="5"/>
        <v>31.733027765283751</v>
      </c>
    </row>
    <row r="30" spans="1:7" x14ac:dyDescent="0.25">
      <c r="A30" s="6" t="s">
        <v>83</v>
      </c>
      <c r="B30" s="16">
        <v>1.1606083333333332</v>
      </c>
      <c r="C30" s="16">
        <v>0.37087499999999995</v>
      </c>
      <c r="E30" s="6" t="str">
        <f t="shared" si="3"/>
        <v xml:space="preserve">T9 6/16/24 12:00 </v>
      </c>
      <c r="F30" s="12">
        <f t="shared" si="4"/>
        <v>96.631198292633499</v>
      </c>
      <c r="G30" s="12">
        <f t="shared" si="5"/>
        <v>26.478399623037543</v>
      </c>
    </row>
    <row r="31" spans="1:7" x14ac:dyDescent="0.25">
      <c r="A31" s="6" t="s">
        <v>84</v>
      </c>
      <c r="B31" s="16">
        <v>1.0006083333333335</v>
      </c>
      <c r="C31" s="16">
        <v>0.38637499999999997</v>
      </c>
      <c r="E31" s="6" t="str">
        <f t="shared" si="3"/>
        <v xml:space="preserve">T10 6/16/24 12:00 </v>
      </c>
      <c r="F31" s="12">
        <f t="shared" si="4"/>
        <v>83.309743256707236</v>
      </c>
      <c r="G31" s="12">
        <f t="shared" si="5"/>
        <v>27.585012886689938</v>
      </c>
    </row>
    <row r="32" spans="1:7" x14ac:dyDescent="0.25">
      <c r="A32" s="6" t="s">
        <v>85</v>
      </c>
      <c r="B32" s="16">
        <v>1.8236083333333335</v>
      </c>
      <c r="C32" s="16">
        <v>0.30367499999999997</v>
      </c>
      <c r="E32" s="6" t="str">
        <f t="shared" si="3"/>
        <v xml:space="preserve">T11 6/16/24 12:00 </v>
      </c>
      <c r="F32" s="12">
        <f t="shared" si="4"/>
        <v>151.83197759775314</v>
      </c>
      <c r="G32" s="12">
        <f t="shared" si="5"/>
        <v>21.680695667073611</v>
      </c>
    </row>
    <row r="33" spans="1:7" x14ac:dyDescent="0.25">
      <c r="A33" s="6" t="s">
        <v>86</v>
      </c>
      <c r="B33" s="16">
        <v>1.7096083333333332</v>
      </c>
      <c r="C33" s="16">
        <v>0.33907499999999996</v>
      </c>
      <c r="E33" s="6" t="str">
        <f t="shared" si="3"/>
        <v xml:space="preserve">T12 6/16/24 12:00 </v>
      </c>
      <c r="F33" s="12">
        <f t="shared" si="4"/>
        <v>142.34044088465561</v>
      </c>
      <c r="G33" s="12">
        <f t="shared" si="5"/>
        <v>24.208057572447469</v>
      </c>
    </row>
    <row r="34" spans="1:7" x14ac:dyDescent="0.25">
      <c r="A34" s="6" t="s">
        <v>87</v>
      </c>
      <c r="B34" s="16">
        <v>1.1136083333333335</v>
      </c>
      <c r="C34" s="16">
        <v>0.350275</v>
      </c>
      <c r="E34" s="6" t="str">
        <f t="shared" si="3"/>
        <v xml:space="preserve">T13 6/16/24 12:00 </v>
      </c>
      <c r="F34" s="12">
        <f t="shared" si="4"/>
        <v>92.718020875830177</v>
      </c>
      <c r="G34" s="12">
        <f t="shared" si="5"/>
        <v>25.007674898441461</v>
      </c>
    </row>
    <row r="35" spans="1:7" x14ac:dyDescent="0.25">
      <c r="A35" s="6" t="s">
        <v>88</v>
      </c>
      <c r="B35" s="16">
        <v>1.1996083333333334</v>
      </c>
      <c r="C35" s="16">
        <v>0.38197499999999995</v>
      </c>
      <c r="D35" s="15"/>
      <c r="E35" s="6" t="str">
        <f t="shared" si="3"/>
        <v xml:space="preserve">T14 6/16/24 12:00 </v>
      </c>
      <c r="F35" s="12">
        <f t="shared" si="4"/>
        <v>99.878302957640557</v>
      </c>
      <c r="G35" s="12">
        <f t="shared" si="5"/>
        <v>27.27087750862087</v>
      </c>
    </row>
    <row r="36" spans="1:7" x14ac:dyDescent="0.25">
      <c r="A36" s="6" t="s">
        <v>89</v>
      </c>
      <c r="B36" s="16">
        <v>1.0866083333333334</v>
      </c>
      <c r="C36" s="16">
        <v>0.41597499999999998</v>
      </c>
      <c r="D36" s="15"/>
      <c r="E36" s="6" t="str">
        <f t="shared" si="3"/>
        <v xml:space="preserve">T15 6/16/24 12:00 </v>
      </c>
      <c r="F36" s="12">
        <f t="shared" si="4"/>
        <v>90.470025338517615</v>
      </c>
      <c r="G36" s="12">
        <f t="shared" si="5"/>
        <v>29.698287248245482</v>
      </c>
    </row>
    <row r="37" spans="1:7" x14ac:dyDescent="0.25">
      <c r="A37" s="6" t="s">
        <v>90</v>
      </c>
      <c r="B37" s="16">
        <v>1.7796083333333335</v>
      </c>
      <c r="C37" s="16">
        <v>0.44077499999999997</v>
      </c>
      <c r="D37" s="15"/>
      <c r="E37" s="6" t="str">
        <f t="shared" si="3"/>
        <v xml:space="preserve">T16 6/16/24 12:00 </v>
      </c>
      <c r="F37" s="12">
        <f t="shared" si="4"/>
        <v>148.1685774628734</v>
      </c>
      <c r="G37" s="12">
        <f t="shared" si="5"/>
        <v>31.468868470089312</v>
      </c>
    </row>
    <row r="38" spans="1:7" x14ac:dyDescent="0.25">
      <c r="A38" s="6" t="s">
        <v>91</v>
      </c>
      <c r="B38" s="16">
        <v>0.94000833333333345</v>
      </c>
      <c r="C38" s="16">
        <v>0.274675</v>
      </c>
      <c r="E38" s="6" t="str">
        <f t="shared" si="3"/>
        <v>IN_1 6/16/24 21:00</v>
      </c>
      <c r="F38" s="12">
        <f t="shared" si="4"/>
        <v>78.264242161850149</v>
      </c>
      <c r="G38" s="12">
        <f t="shared" si="5"/>
        <v>19.610257947982035</v>
      </c>
    </row>
    <row r="39" spans="1:7" x14ac:dyDescent="0.25">
      <c r="A39" s="6" t="s">
        <v>92</v>
      </c>
      <c r="B39" s="16">
        <v>0.92280833333333334</v>
      </c>
      <c r="C39" s="16">
        <v>0.30167499999999997</v>
      </c>
      <c r="E39" s="6" t="str">
        <f>A39</f>
        <v xml:space="preserve">IN_2 6/16/24 21:00 </v>
      </c>
      <c r="F39" s="12">
        <f t="shared" si="4"/>
        <v>76.832185745488061</v>
      </c>
      <c r="G39" s="12">
        <f t="shared" si="5"/>
        <v>21.537906858860399</v>
      </c>
    </row>
    <row r="40" spans="1:7" x14ac:dyDescent="0.25">
      <c r="A40" s="19" t="s">
        <v>28</v>
      </c>
      <c r="B40" s="20">
        <v>1.206E-2</v>
      </c>
      <c r="C40" s="20">
        <v>0</v>
      </c>
      <c r="E40" s="19" t="str">
        <f t="shared" ref="E40:E55" si="6">A40</f>
        <v>DIW</v>
      </c>
      <c r="F40" s="21">
        <f t="shared" si="4"/>
        <v>1.0041046733329448</v>
      </c>
      <c r="G40" s="21">
        <f t="shared" si="5"/>
        <v>0</v>
      </c>
    </row>
    <row r="41" spans="1:7" x14ac:dyDescent="0.25">
      <c r="A41" s="19" t="s">
        <v>27</v>
      </c>
      <c r="B41" s="20">
        <v>0.91249999999999998</v>
      </c>
      <c r="C41" s="20">
        <v>5.8659999999999997E-2</v>
      </c>
      <c r="D41" s="15"/>
      <c r="E41" s="19" t="str">
        <f t="shared" si="6"/>
        <v>LNSW</v>
      </c>
      <c r="F41" s="21">
        <f t="shared" si="4"/>
        <v>75.973923251767175</v>
      </c>
      <c r="G41" s="21">
        <f t="shared" si="5"/>
        <v>4.1879957448935148</v>
      </c>
    </row>
    <row r="42" spans="1:7" x14ac:dyDescent="0.25">
      <c r="A42" s="19" t="s">
        <v>31</v>
      </c>
      <c r="B42" s="20">
        <v>0.50730833333333336</v>
      </c>
      <c r="C42" s="20">
        <v>0.44297500000000001</v>
      </c>
      <c r="D42" s="15"/>
      <c r="E42" s="19" t="str">
        <f t="shared" si="6"/>
        <v>DSWR [B24,L05-24]</v>
      </c>
      <c r="F42" s="21">
        <f t="shared" si="4"/>
        <v>42.238032199066943</v>
      </c>
      <c r="G42" s="21">
        <f t="shared" si="5"/>
        <v>31.625936159123846</v>
      </c>
    </row>
    <row r="43" spans="1:7" x14ac:dyDescent="0.25">
      <c r="A43" s="6" t="s">
        <v>93</v>
      </c>
      <c r="B43" s="16">
        <v>1.2766083333333333</v>
      </c>
      <c r="C43" s="16">
        <v>0.35677499999999995</v>
      </c>
      <c r="D43" s="15"/>
      <c r="E43" s="6" t="str">
        <f t="shared" si="6"/>
        <v xml:space="preserve">T1A 6/16/24 21:00 </v>
      </c>
      <c r="F43" s="12">
        <f t="shared" si="4"/>
        <v>106.28925319368008</v>
      </c>
      <c r="G43" s="12">
        <f t="shared" si="5"/>
        <v>25.471738525134395</v>
      </c>
    </row>
    <row r="44" spans="1:7" x14ac:dyDescent="0.25">
      <c r="A44" s="6" t="s">
        <v>94</v>
      </c>
      <c r="B44" s="16">
        <v>1.0976083333333335</v>
      </c>
      <c r="C44" s="16">
        <v>0.31487499999999996</v>
      </c>
      <c r="D44" s="15"/>
      <c r="E44" s="6" t="str">
        <f t="shared" si="6"/>
        <v xml:space="preserve">T2A 6/16/24 21:00 </v>
      </c>
      <c r="F44" s="12">
        <f t="shared" si="4"/>
        <v>91.38587537223755</v>
      </c>
      <c r="G44" s="12">
        <f t="shared" si="5"/>
        <v>22.480312993067599</v>
      </c>
    </row>
    <row r="45" spans="1:7" x14ac:dyDescent="0.25">
      <c r="A45" s="6" t="s">
        <v>95</v>
      </c>
      <c r="B45" s="16">
        <v>1.1116083333333333</v>
      </c>
      <c r="C45" s="16">
        <v>0.309475</v>
      </c>
      <c r="D45" s="15"/>
      <c r="E45" s="6" t="str">
        <f t="shared" si="6"/>
        <v xml:space="preserve">T3A 6/16/24 21:00 </v>
      </c>
      <c r="F45" s="12">
        <f t="shared" si="4"/>
        <v>92.551502687881083</v>
      </c>
      <c r="G45" s="12">
        <f t="shared" si="5"/>
        <v>22.094783210891929</v>
      </c>
    </row>
    <row r="46" spans="1:7" x14ac:dyDescent="0.25">
      <c r="A46" s="6" t="s">
        <v>96</v>
      </c>
      <c r="B46" s="16">
        <v>1.2906083333333336</v>
      </c>
      <c r="C46" s="16">
        <v>0.35447499999999998</v>
      </c>
      <c r="D46" s="15"/>
      <c r="E46" s="6" t="str">
        <f t="shared" si="6"/>
        <v xml:space="preserve">T4A 6/16/24 21:00 </v>
      </c>
      <c r="F46" s="12">
        <f t="shared" si="4"/>
        <v>107.45488050932366</v>
      </c>
      <c r="G46" s="12">
        <f t="shared" si="5"/>
        <v>25.307531395689203</v>
      </c>
    </row>
    <row r="47" spans="1:7" x14ac:dyDescent="0.25">
      <c r="A47" s="6" t="s">
        <v>97</v>
      </c>
      <c r="B47" s="16">
        <v>1.1346083333333334</v>
      </c>
      <c r="C47" s="16">
        <v>0.30097499999999999</v>
      </c>
      <c r="E47" s="6" t="str">
        <f t="shared" si="6"/>
        <v xml:space="preserve">T5A 6/16/24 21:00 </v>
      </c>
      <c r="F47" s="12">
        <f t="shared" si="4"/>
        <v>94.466461849295499</v>
      </c>
      <c r="G47" s="12">
        <f t="shared" si="5"/>
        <v>21.487930775985777</v>
      </c>
    </row>
    <row r="48" spans="1:7" x14ac:dyDescent="0.25">
      <c r="A48" s="6" t="s">
        <v>98</v>
      </c>
      <c r="B48" s="16">
        <v>0.89240833333333336</v>
      </c>
      <c r="C48" s="16">
        <v>0.21817499999999998</v>
      </c>
      <c r="E48" s="6" t="str">
        <f t="shared" si="6"/>
        <v xml:space="preserve">T6A 6/16/24 21:00 </v>
      </c>
      <c r="F48" s="12">
        <f t="shared" si="4"/>
        <v>74.301109288662062</v>
      </c>
      <c r="G48" s="12">
        <f t="shared" si="5"/>
        <v>15.576474115958789</v>
      </c>
    </row>
    <row r="49" spans="1:7" x14ac:dyDescent="0.25">
      <c r="A49" s="6" t="s">
        <v>99</v>
      </c>
      <c r="B49" s="16">
        <v>1.4316083333333336</v>
      </c>
      <c r="C49" s="16">
        <v>0.22387499999999999</v>
      </c>
      <c r="E49" s="6" t="str">
        <f t="shared" si="6"/>
        <v xml:space="preserve">T1B 6/16/24 21:00 </v>
      </c>
      <c r="F49" s="12">
        <f t="shared" si="4"/>
        <v>119.19441275973371</v>
      </c>
      <c r="G49" s="12">
        <f t="shared" si="5"/>
        <v>15.983422219366446</v>
      </c>
    </row>
    <row r="50" spans="1:7" x14ac:dyDescent="0.25">
      <c r="A50" s="6" t="s">
        <v>100</v>
      </c>
      <c r="B50" s="16">
        <v>2.1666083333333335</v>
      </c>
      <c r="C50" s="16">
        <v>0.317075</v>
      </c>
      <c r="E50" s="6" t="str">
        <f t="shared" si="6"/>
        <v xml:space="preserve">T2B 6/16/24 21:00 </v>
      </c>
      <c r="F50" s="12">
        <f t="shared" si="4"/>
        <v>180.38984683102012</v>
      </c>
      <c r="G50" s="12">
        <f t="shared" si="5"/>
        <v>22.637380682102137</v>
      </c>
    </row>
    <row r="51" spans="1:7" x14ac:dyDescent="0.25">
      <c r="A51" s="6" t="s">
        <v>101</v>
      </c>
      <c r="B51" s="16">
        <v>1.8976083333333333</v>
      </c>
      <c r="C51" s="16">
        <v>0.362875</v>
      </c>
      <c r="E51" s="6" t="str">
        <f t="shared" si="6"/>
        <v xml:space="preserve">T3B 6/16/24 21:00 </v>
      </c>
      <c r="F51" s="12">
        <f t="shared" si="4"/>
        <v>157.99315055186901</v>
      </c>
      <c r="G51" s="12">
        <f t="shared" si="5"/>
        <v>25.907244390184697</v>
      </c>
    </row>
    <row r="52" spans="1:7" x14ac:dyDescent="0.25">
      <c r="A52" s="6" t="s">
        <v>102</v>
      </c>
      <c r="B52" s="16">
        <v>1.4336083333333334</v>
      </c>
      <c r="C52" s="16">
        <v>0.23957499999999998</v>
      </c>
      <c r="E52" s="6" t="str">
        <f t="shared" si="6"/>
        <v xml:space="preserve">T4B 6/16/24 21:00 </v>
      </c>
      <c r="F52" s="12">
        <f t="shared" si="4"/>
        <v>119.36093094768277</v>
      </c>
      <c r="G52" s="12">
        <f t="shared" si="5"/>
        <v>17.10431436384016</v>
      </c>
    </row>
    <row r="53" spans="1:7" x14ac:dyDescent="0.25">
      <c r="A53" s="19" t="s">
        <v>28</v>
      </c>
      <c r="B53" s="20">
        <v>-4.3E-3</v>
      </c>
      <c r="C53" s="20">
        <v>0</v>
      </c>
      <c r="E53" s="19" t="str">
        <f t="shared" si="6"/>
        <v>DIW</v>
      </c>
      <c r="F53" s="21">
        <f t="shared" si="4"/>
        <v>-0.35801410409051926</v>
      </c>
      <c r="G53" s="21">
        <f t="shared" si="5"/>
        <v>0</v>
      </c>
    </row>
    <row r="54" spans="1:7" x14ac:dyDescent="0.25">
      <c r="A54" s="19" t="s">
        <v>27</v>
      </c>
      <c r="B54" s="20">
        <v>0.92479999999999996</v>
      </c>
      <c r="C54" s="20">
        <v>6.225E-2</v>
      </c>
      <c r="D54" s="15"/>
      <c r="E54" s="19" t="str">
        <f t="shared" si="6"/>
        <v>LNSW</v>
      </c>
      <c r="F54" s="21">
        <f t="shared" si="4"/>
        <v>76.998010107653997</v>
      </c>
      <c r="G54" s="21">
        <f t="shared" si="5"/>
        <v>4.4443016556362318</v>
      </c>
    </row>
    <row r="55" spans="1:7" x14ac:dyDescent="0.25">
      <c r="A55" s="19" t="s">
        <v>31</v>
      </c>
      <c r="B55" s="20">
        <v>0.510608333333333</v>
      </c>
      <c r="C55" s="20">
        <v>0.434475</v>
      </c>
      <c r="D55" s="15"/>
      <c r="E55" s="19" t="str">
        <f t="shared" si="6"/>
        <v>DSWR [B24,L05-24]</v>
      </c>
      <c r="F55" s="21">
        <f t="shared" si="4"/>
        <v>42.512787209182896</v>
      </c>
      <c r="G55" s="21">
        <f t="shared" si="5"/>
        <v>31.019083724217694</v>
      </c>
    </row>
    <row r="56" spans="1:7" x14ac:dyDescent="0.25">
      <c r="A56" s="6" t="s">
        <v>103</v>
      </c>
      <c r="B56" s="16">
        <v>0.88960833333333345</v>
      </c>
      <c r="C56" s="16">
        <v>0.28717499999999996</v>
      </c>
      <c r="E56" s="36" t="str">
        <f t="shared" ref="E56:E81" si="7">A56</f>
        <v xml:space="preserve">T5B 6/16/24 21:00 </v>
      </c>
      <c r="F56" s="35">
        <f t="shared" ref="F56:F81" si="8">B56/12.0107*1000</f>
        <v>74.067983825533361</v>
      </c>
      <c r="G56" s="35">
        <f t="shared" ref="G56:G81" si="9">C56/14.0067*1000</f>
        <v>20.50268799931461</v>
      </c>
    </row>
    <row r="57" spans="1:7" x14ac:dyDescent="0.25">
      <c r="A57" s="6" t="s">
        <v>104</v>
      </c>
      <c r="B57" s="16">
        <v>0.97460833333333341</v>
      </c>
      <c r="C57" s="16">
        <v>0.31437499999999996</v>
      </c>
      <c r="E57" s="36" t="str">
        <f t="shared" si="7"/>
        <v xml:space="preserve">T6B 6/16/24 21:00 </v>
      </c>
      <c r="F57" s="35">
        <f t="shared" si="8"/>
        <v>81.145006813369193</v>
      </c>
      <c r="G57" s="35">
        <f t="shared" si="9"/>
        <v>22.444615791014296</v>
      </c>
    </row>
    <row r="58" spans="1:7" x14ac:dyDescent="0.25">
      <c r="A58" s="6" t="s">
        <v>105</v>
      </c>
      <c r="B58" s="16">
        <v>0.93500833333333344</v>
      </c>
      <c r="C58" s="16">
        <v>0.18607499999999999</v>
      </c>
      <c r="E58" s="36" t="str">
        <f t="shared" si="7"/>
        <v>T7 6/16/24 21:00</v>
      </c>
      <c r="F58" s="35">
        <f t="shared" si="8"/>
        <v>77.847946691977441</v>
      </c>
      <c r="G58" s="35">
        <f t="shared" si="9"/>
        <v>13.284713744136733</v>
      </c>
    </row>
    <row r="59" spans="1:7" x14ac:dyDescent="0.25">
      <c r="A59" s="6" t="s">
        <v>106</v>
      </c>
      <c r="B59" s="16">
        <v>0.88360833333333344</v>
      </c>
      <c r="C59" s="16">
        <v>0.22847499999999998</v>
      </c>
      <c r="E59" s="36" t="str">
        <f t="shared" si="7"/>
        <v xml:space="preserve">T8 6/16/24 21:00 </v>
      </c>
      <c r="F59" s="35">
        <f t="shared" si="8"/>
        <v>73.56842926168612</v>
      </c>
      <c r="G59" s="35">
        <f t="shared" si="9"/>
        <v>16.311836478256833</v>
      </c>
    </row>
    <row r="60" spans="1:7" x14ac:dyDescent="0.25">
      <c r="A60" s="6" t="s">
        <v>107</v>
      </c>
      <c r="B60" s="16">
        <v>1.3796083333333335</v>
      </c>
      <c r="C60" s="16">
        <v>0.25387499999999996</v>
      </c>
      <c r="E60" s="36" t="str">
        <f t="shared" si="7"/>
        <v xml:space="preserve">T9 6/16/24 21:00 </v>
      </c>
      <c r="F60" s="35">
        <f t="shared" si="8"/>
        <v>114.86493987305765</v>
      </c>
      <c r="G60" s="35">
        <f t="shared" si="9"/>
        <v>18.125254342564627</v>
      </c>
    </row>
    <row r="61" spans="1:7" x14ac:dyDescent="0.25">
      <c r="A61" s="6" t="s">
        <v>108</v>
      </c>
      <c r="B61" s="16">
        <v>1.1326083333333332</v>
      </c>
      <c r="C61" s="16">
        <v>0.25647500000000001</v>
      </c>
      <c r="E61" s="36" t="str">
        <f t="shared" si="7"/>
        <v xml:space="preserve">T10 6/16/24 21:00 </v>
      </c>
      <c r="F61" s="35">
        <f t="shared" si="8"/>
        <v>94.299943661346404</v>
      </c>
      <c r="G61" s="35">
        <f t="shared" si="9"/>
        <v>18.310879793241803</v>
      </c>
    </row>
    <row r="62" spans="1:7" x14ac:dyDescent="0.25">
      <c r="A62" s="6" t="s">
        <v>109</v>
      </c>
      <c r="B62" s="16">
        <v>0.84860833333333341</v>
      </c>
      <c r="C62" s="16">
        <v>0.22907499999999997</v>
      </c>
      <c r="E62" s="36" t="str">
        <f t="shared" si="7"/>
        <v xml:space="preserve">T11 6/16/24 21:00 </v>
      </c>
      <c r="F62" s="35">
        <f t="shared" si="8"/>
        <v>70.654360972577237</v>
      </c>
      <c r="G62" s="35">
        <f t="shared" si="9"/>
        <v>16.354673120720793</v>
      </c>
    </row>
    <row r="63" spans="1:7" x14ac:dyDescent="0.25">
      <c r="A63" s="6" t="s">
        <v>110</v>
      </c>
      <c r="B63" s="16">
        <v>0.93590833333333334</v>
      </c>
      <c r="C63" s="16">
        <v>0.19967499999999999</v>
      </c>
      <c r="E63" s="36" t="str">
        <f t="shared" si="7"/>
        <v xml:space="preserve">T12 6/16/24 21:00 </v>
      </c>
      <c r="F63" s="35">
        <f t="shared" si="8"/>
        <v>77.922879876554518</v>
      </c>
      <c r="G63" s="35">
        <f t="shared" si="9"/>
        <v>14.255677639986578</v>
      </c>
    </row>
    <row r="64" spans="1:7" x14ac:dyDescent="0.25">
      <c r="A64" s="6" t="s">
        <v>111</v>
      </c>
      <c r="B64" s="16">
        <v>0.92250833333333337</v>
      </c>
      <c r="C64" s="16">
        <v>0.23717499999999997</v>
      </c>
      <c r="E64" s="36" t="str">
        <f t="shared" si="7"/>
        <v xml:space="preserve">T13 6/16/24 21:00 </v>
      </c>
      <c r="F64" s="35">
        <f t="shared" si="8"/>
        <v>76.807208017295693</v>
      </c>
      <c r="G64" s="35">
        <f t="shared" si="9"/>
        <v>16.932967793984307</v>
      </c>
    </row>
    <row r="65" spans="1:7" x14ac:dyDescent="0.25">
      <c r="A65" s="6" t="s">
        <v>112</v>
      </c>
      <c r="B65" s="16">
        <v>0.99160833333333331</v>
      </c>
      <c r="C65" s="16">
        <v>0.23397499999999999</v>
      </c>
      <c r="E65" s="36" t="str">
        <f t="shared" si="7"/>
        <v xml:space="preserve">T14 6/16/24 21:00 </v>
      </c>
      <c r="F65" s="35">
        <f t="shared" si="8"/>
        <v>82.560411410936354</v>
      </c>
      <c r="G65" s="35">
        <f t="shared" si="9"/>
        <v>16.704505700843168</v>
      </c>
    </row>
    <row r="66" spans="1:7" x14ac:dyDescent="0.25">
      <c r="A66" s="22" t="s">
        <v>28</v>
      </c>
      <c r="B66" s="20">
        <v>-9.1000000000000004E-3</v>
      </c>
      <c r="C66" s="20">
        <v>0</v>
      </c>
      <c r="E66" s="19" t="str">
        <f t="shared" si="7"/>
        <v>DIW</v>
      </c>
      <c r="F66" s="21">
        <f t="shared" si="8"/>
        <v>-0.75765775516830836</v>
      </c>
      <c r="G66" s="21">
        <f t="shared" si="9"/>
        <v>0</v>
      </c>
    </row>
    <row r="67" spans="1:7" x14ac:dyDescent="0.25">
      <c r="A67" s="22" t="s">
        <v>27</v>
      </c>
      <c r="B67" s="20">
        <v>0.93889999999999996</v>
      </c>
      <c r="C67" s="20">
        <v>5.7860000000000002E-2</v>
      </c>
      <c r="E67" s="19" t="str">
        <f t="shared" si="7"/>
        <v>LNSW</v>
      </c>
      <c r="F67" s="21">
        <f t="shared" si="8"/>
        <v>78.171963332695015</v>
      </c>
      <c r="G67" s="21">
        <f t="shared" si="9"/>
        <v>4.1308802216082299</v>
      </c>
    </row>
    <row r="68" spans="1:7" x14ac:dyDescent="0.25">
      <c r="A68" s="22" t="s">
        <v>31</v>
      </c>
      <c r="B68" s="20">
        <v>0.50470833333333298</v>
      </c>
      <c r="C68" s="20">
        <v>0.445575</v>
      </c>
      <c r="E68" s="19" t="str">
        <f t="shared" si="7"/>
        <v>DSWR [B24,L05-24]</v>
      </c>
      <c r="F68" s="21">
        <f t="shared" si="8"/>
        <v>42.021558554733112</v>
      </c>
      <c r="G68" s="21">
        <f t="shared" si="9"/>
        <v>31.811561609801025</v>
      </c>
    </row>
    <row r="69" spans="1:7" x14ac:dyDescent="0.25">
      <c r="A69" s="6" t="s">
        <v>77</v>
      </c>
      <c r="B69" s="16">
        <v>0.9586083333333334</v>
      </c>
      <c r="C69" s="16">
        <v>0.26207499999999995</v>
      </c>
      <c r="E69" s="36" t="str">
        <f t="shared" si="7"/>
        <v xml:space="preserve">T15 6/11/24 21:00 </v>
      </c>
      <c r="F69" s="35">
        <f t="shared" si="8"/>
        <v>79.812861309776565</v>
      </c>
      <c r="G69" s="35">
        <f t="shared" si="9"/>
        <v>18.710688456238795</v>
      </c>
    </row>
    <row r="70" spans="1:7" x14ac:dyDescent="0.25">
      <c r="A70" s="6" t="s">
        <v>78</v>
      </c>
      <c r="B70" s="16">
        <v>0.89520833333333338</v>
      </c>
      <c r="C70" s="16">
        <v>0.20317499999999999</v>
      </c>
      <c r="E70" s="36" t="str">
        <f t="shared" si="7"/>
        <v xml:space="preserve">T16 6/11/24 21:00 </v>
      </c>
      <c r="F70" s="35">
        <f t="shared" si="8"/>
        <v>74.534234751790777</v>
      </c>
      <c r="G70" s="35">
        <f t="shared" si="9"/>
        <v>14.5055580543597</v>
      </c>
    </row>
    <row r="71" spans="1:7" x14ac:dyDescent="0.25">
      <c r="A71" s="6" t="s">
        <v>113</v>
      </c>
      <c r="B71" s="16">
        <v>1.4746083333333333</v>
      </c>
      <c r="C71" s="16">
        <v>0.51587499999999997</v>
      </c>
      <c r="E71" s="36" t="str">
        <f t="shared" si="7"/>
        <v>IN_1 6/20/24 9PM</v>
      </c>
      <c r="F71" s="35">
        <f t="shared" si="8"/>
        <v>122.77455380063887</v>
      </c>
      <c r="G71" s="35">
        <f t="shared" si="9"/>
        <v>36.830588218495436</v>
      </c>
    </row>
    <row r="72" spans="1:7" x14ac:dyDescent="0.25">
      <c r="A72" s="6" t="s">
        <v>114</v>
      </c>
      <c r="B72" s="16">
        <v>1.7596083333333334</v>
      </c>
      <c r="C72" s="16">
        <v>0.21957499999999999</v>
      </c>
      <c r="E72" s="36" t="str">
        <f t="shared" si="7"/>
        <v xml:space="preserve">IN_2 6/20/24 9PM </v>
      </c>
      <c r="F72" s="35">
        <f t="shared" si="8"/>
        <v>146.5033955833826</v>
      </c>
      <c r="G72" s="35">
        <f t="shared" si="9"/>
        <v>15.676426281708039</v>
      </c>
    </row>
    <row r="73" spans="1:7" x14ac:dyDescent="0.25">
      <c r="A73" s="6" t="s">
        <v>115</v>
      </c>
      <c r="B73" s="16">
        <v>1.7756083333333335</v>
      </c>
      <c r="C73" s="16">
        <v>0.39837499999999998</v>
      </c>
      <c r="E73" s="36" t="str">
        <f t="shared" si="7"/>
        <v xml:space="preserve">T1 6/20/24 9PM </v>
      </c>
      <c r="F73" s="35">
        <f t="shared" si="8"/>
        <v>147.83554108697524</v>
      </c>
      <c r="G73" s="35">
        <f t="shared" si="9"/>
        <v>28.441745735969214</v>
      </c>
    </row>
    <row r="74" spans="1:7" x14ac:dyDescent="0.25">
      <c r="A74" s="6" t="s">
        <v>116</v>
      </c>
      <c r="B74" s="16">
        <v>2.3596083333333335</v>
      </c>
      <c r="C74" s="16">
        <v>0.45217499999999999</v>
      </c>
      <c r="E74" s="36" t="str">
        <f t="shared" si="7"/>
        <v xml:space="preserve">T2 6/20/24 9PM </v>
      </c>
      <c r="F74" s="35">
        <f t="shared" si="8"/>
        <v>196.45885196810622</v>
      </c>
      <c r="G74" s="35">
        <f t="shared" si="9"/>
        <v>32.28276467690462</v>
      </c>
    </row>
    <row r="75" spans="1:7" x14ac:dyDescent="0.25">
      <c r="A75" s="6" t="s">
        <v>117</v>
      </c>
      <c r="B75" s="16">
        <v>1.1576083333333336</v>
      </c>
      <c r="C75" s="16">
        <v>0.55687500000000001</v>
      </c>
      <c r="E75" s="36" t="str">
        <f t="shared" si="7"/>
        <v xml:space="preserve">T3 6/20/24 9PM </v>
      </c>
      <c r="F75" s="35">
        <f t="shared" si="8"/>
        <v>96.381421010709914</v>
      </c>
      <c r="G75" s="35">
        <f t="shared" si="9"/>
        <v>39.757758786866283</v>
      </c>
    </row>
    <row r="76" spans="1:7" x14ac:dyDescent="0.25">
      <c r="A76" s="6" t="s">
        <v>118</v>
      </c>
      <c r="B76" s="16">
        <v>2.0186083333333333</v>
      </c>
      <c r="C76" s="16">
        <v>0.46037499999999998</v>
      </c>
      <c r="E76" s="36" t="str">
        <f t="shared" si="7"/>
        <v xml:space="preserve">T4 6/20/24 9PM </v>
      </c>
      <c r="F76" s="35">
        <f t="shared" si="8"/>
        <v>168.0675009227883</v>
      </c>
      <c r="G76" s="35">
        <f t="shared" si="9"/>
        <v>32.868198790578788</v>
      </c>
    </row>
    <row r="77" spans="1:7" x14ac:dyDescent="0.25">
      <c r="A77" s="6" t="s">
        <v>119</v>
      </c>
      <c r="B77" s="16">
        <v>0.90710833333333341</v>
      </c>
      <c r="C77" s="16">
        <v>0.46187499999999998</v>
      </c>
      <c r="E77" s="36" t="str">
        <f t="shared" si="7"/>
        <v xml:space="preserve">T5 6/20/24 9PM </v>
      </c>
      <c r="F77" s="35">
        <f t="shared" si="8"/>
        <v>75.525017970087788</v>
      </c>
      <c r="G77" s="35">
        <f t="shared" si="9"/>
        <v>32.9752903967387</v>
      </c>
    </row>
    <row r="78" spans="1:7" x14ac:dyDescent="0.25">
      <c r="A78" s="6" t="s">
        <v>120</v>
      </c>
      <c r="B78" s="16">
        <v>0.94720833333333343</v>
      </c>
      <c r="C78" s="16">
        <v>0.42917499999999997</v>
      </c>
      <c r="E78" s="36" t="str">
        <f t="shared" si="7"/>
        <v xml:space="preserve">T6 6/20/24 9PM </v>
      </c>
      <c r="F78" s="35">
        <f t="shared" si="8"/>
        <v>78.863707638466821</v>
      </c>
      <c r="G78" s="35">
        <f t="shared" si="9"/>
        <v>30.640693382452682</v>
      </c>
    </row>
    <row r="79" spans="1:7" x14ac:dyDescent="0.25">
      <c r="A79" s="22" t="s">
        <v>28</v>
      </c>
      <c r="B79" s="20">
        <v>2.2100000000000002E-3</v>
      </c>
      <c r="C79" s="20">
        <v>1.64E-3</v>
      </c>
      <c r="E79" s="19" t="str">
        <f t="shared" si="7"/>
        <v>DIW</v>
      </c>
      <c r="F79" s="21">
        <f t="shared" si="8"/>
        <v>0.18400259768373203</v>
      </c>
      <c r="G79" s="21">
        <f t="shared" si="9"/>
        <v>0.11708682273483403</v>
      </c>
    </row>
    <row r="80" spans="1:7" x14ac:dyDescent="0.25">
      <c r="A80" s="22" t="s">
        <v>27</v>
      </c>
      <c r="B80" s="20">
        <v>0.92010000000000003</v>
      </c>
      <c r="C80" s="20">
        <v>5.7570000000000003E-2</v>
      </c>
      <c r="E80" s="19" t="str">
        <f t="shared" si="7"/>
        <v>LNSW</v>
      </c>
      <c r="F80" s="21">
        <f t="shared" si="8"/>
        <v>76.606692365973672</v>
      </c>
      <c r="G80" s="21">
        <f t="shared" si="9"/>
        <v>4.1101758444173147</v>
      </c>
    </row>
    <row r="81" spans="1:7" x14ac:dyDescent="0.25">
      <c r="A81" s="22" t="s">
        <v>31</v>
      </c>
      <c r="B81" s="20">
        <v>0.50700833333333295</v>
      </c>
      <c r="C81" s="20">
        <v>0.43937499999999996</v>
      </c>
      <c r="E81" s="19" t="str">
        <f t="shared" si="7"/>
        <v>DSWR [B24,L05-24]</v>
      </c>
      <c r="F81" s="21">
        <f t="shared" si="8"/>
        <v>42.213054470874546</v>
      </c>
      <c r="G81" s="21">
        <f t="shared" si="9"/>
        <v>31.368916304340065</v>
      </c>
    </row>
  </sheetData>
  <mergeCells count="3">
    <mergeCell ref="D1:G2"/>
    <mergeCell ref="D3:G3"/>
    <mergeCell ref="D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5FAA-AD10-4906-B6A7-3EAEF4839950}">
  <dimension ref="A1:G42"/>
  <sheetViews>
    <sheetView topLeftCell="A12" zoomScaleNormal="100" workbookViewId="0">
      <selection activeCell="B5" sqref="B5"/>
    </sheetView>
  </sheetViews>
  <sheetFormatPr defaultRowHeight="15" x14ac:dyDescent="0.25"/>
  <cols>
    <col min="1" max="1" width="47.28515625" bestFit="1" customWidth="1"/>
    <col min="2" max="2" width="37.140625" bestFit="1" customWidth="1"/>
    <col min="3" max="3" width="14.5703125" customWidth="1"/>
    <col min="5" max="5" width="42.140625" bestFit="1" customWidth="1"/>
    <col min="6" max="6" width="15.5703125" customWidth="1"/>
    <col min="7" max="7" width="14" customWidth="1"/>
  </cols>
  <sheetData>
    <row r="1" spans="1:7" x14ac:dyDescent="0.25">
      <c r="A1" s="1" t="s">
        <v>0</v>
      </c>
      <c r="B1" s="2" t="s">
        <v>1</v>
      </c>
      <c r="D1" s="23" t="s">
        <v>2</v>
      </c>
      <c r="E1" s="24"/>
      <c r="F1" s="24"/>
      <c r="G1" s="25"/>
    </row>
    <row r="2" spans="1:7" ht="15.75" thickBot="1" x14ac:dyDescent="0.3">
      <c r="A2" s="1" t="s">
        <v>3</v>
      </c>
      <c r="B2" s="2">
        <v>1</v>
      </c>
      <c r="D2" s="26"/>
      <c r="E2" s="27"/>
      <c r="F2" s="27"/>
      <c r="G2" s="28"/>
    </row>
    <row r="3" spans="1:7" x14ac:dyDescent="0.25">
      <c r="A3" s="1" t="s">
        <v>4</v>
      </c>
      <c r="B3" s="14" t="s">
        <v>17</v>
      </c>
      <c r="D3" s="29" t="s">
        <v>32</v>
      </c>
      <c r="E3" s="30"/>
      <c r="F3" s="30"/>
      <c r="G3" s="31"/>
    </row>
    <row r="4" spans="1:7" ht="15.75" thickBot="1" x14ac:dyDescent="0.3">
      <c r="A4" s="1" t="s">
        <v>5</v>
      </c>
      <c r="B4" s="17">
        <v>45587</v>
      </c>
      <c r="C4" s="3"/>
      <c r="D4" s="32" t="s">
        <v>33</v>
      </c>
      <c r="E4" s="33"/>
      <c r="F4" s="33"/>
      <c r="G4" s="34"/>
    </row>
    <row r="5" spans="1:7" x14ac:dyDescent="0.25">
      <c r="A5" s="1" t="s">
        <v>6</v>
      </c>
      <c r="B5" s="18" t="s">
        <v>35</v>
      </c>
    </row>
    <row r="7" spans="1:7" ht="15" customHeight="1" x14ac:dyDescent="0.25"/>
    <row r="9" spans="1:7" x14ac:dyDescent="0.25">
      <c r="A9" s="4" t="s">
        <v>7</v>
      </c>
    </row>
    <row r="10" spans="1:7" x14ac:dyDescent="0.25">
      <c r="A10" s="5" t="s">
        <v>8</v>
      </c>
      <c r="B10" s="6" t="s">
        <v>9</v>
      </c>
    </row>
    <row r="11" spans="1:7" x14ac:dyDescent="0.25">
      <c r="A11" s="7"/>
      <c r="B11" s="10"/>
    </row>
    <row r="12" spans="1:7" x14ac:dyDescent="0.25">
      <c r="A12" t="s">
        <v>10</v>
      </c>
      <c r="E12" t="s">
        <v>11</v>
      </c>
    </row>
    <row r="13" spans="1:7" x14ac:dyDescent="0.25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5">
      <c r="A14" s="19" t="s">
        <v>28</v>
      </c>
      <c r="B14" s="20">
        <v>-3.6830000000000002E-2</v>
      </c>
      <c r="C14" s="20">
        <v>0</v>
      </c>
      <c r="E14" s="19" t="str">
        <f>A14</f>
        <v>DIW</v>
      </c>
      <c r="F14" s="21">
        <f>B14/12.0107*1000</f>
        <v>-3.0664324310822852</v>
      </c>
      <c r="G14" s="21">
        <f>C14/14.0067*1000</f>
        <v>0</v>
      </c>
    </row>
    <row r="15" spans="1:7" x14ac:dyDescent="0.25">
      <c r="A15" s="19" t="s">
        <v>27</v>
      </c>
      <c r="B15" s="20">
        <v>0.94040000000000001</v>
      </c>
      <c r="C15" s="20">
        <v>5.8619999999999998E-2</v>
      </c>
      <c r="E15" s="19" t="str">
        <f>A15</f>
        <v>LNSW</v>
      </c>
      <c r="F15" s="21">
        <f>B15/12.0107*1000</f>
        <v>78.296851973656828</v>
      </c>
      <c r="G15" s="21">
        <f>C15/14.0067*1000</f>
        <v>4.1851399687292501</v>
      </c>
    </row>
    <row r="16" spans="1:7" x14ac:dyDescent="0.25">
      <c r="A16" s="19" t="s">
        <v>31</v>
      </c>
      <c r="B16" s="20">
        <v>0.52078333333333338</v>
      </c>
      <c r="C16" s="20">
        <v>0.44058333333333333</v>
      </c>
      <c r="E16" s="19" t="str">
        <f>A16</f>
        <v>DSWR [B24,L05-24]</v>
      </c>
      <c r="F16" s="21">
        <f>B16/12.0107*1000</f>
        <v>43.35994849037386</v>
      </c>
      <c r="G16" s="21">
        <f>C16/14.0067*1000</f>
        <v>31.455184542635546</v>
      </c>
    </row>
    <row r="17" spans="1:7" x14ac:dyDescent="0.25">
      <c r="A17" s="6" t="s">
        <v>121</v>
      </c>
      <c r="B17" s="16">
        <v>1.0236833333333333</v>
      </c>
      <c r="C17" s="16">
        <v>0.44308333333333333</v>
      </c>
      <c r="D17" s="15"/>
      <c r="E17" s="6" t="str">
        <f t="shared" ref="E17:E18" si="0">A17</f>
        <v xml:space="preserve">T7 6/20/24 9PM </v>
      </c>
      <c r="F17" s="12">
        <f t="shared" ref="F17:F18" si="1">B17/12.0107*1000</f>
        <v>85.230946850169701</v>
      </c>
      <c r="G17" s="12">
        <f t="shared" ref="G17:G18" si="2">C17/14.0067*1000</f>
        <v>31.633670552902061</v>
      </c>
    </row>
    <row r="18" spans="1:7" x14ac:dyDescent="0.25">
      <c r="A18" s="6" t="s">
        <v>122</v>
      </c>
      <c r="B18" s="16">
        <v>1.0091833333333335</v>
      </c>
      <c r="C18" s="16">
        <v>0.29708333333333331</v>
      </c>
      <c r="D18" s="15"/>
      <c r="E18" s="6" t="str">
        <f t="shared" si="0"/>
        <v xml:space="preserve">T8 6/20/24 9PM </v>
      </c>
      <c r="F18" s="12">
        <f t="shared" si="1"/>
        <v>84.023689987538916</v>
      </c>
      <c r="G18" s="12">
        <f t="shared" si="2"/>
        <v>21.210087553337566</v>
      </c>
    </row>
    <row r="19" spans="1:7" x14ac:dyDescent="0.25">
      <c r="A19" s="6" t="s">
        <v>123</v>
      </c>
      <c r="B19" s="16">
        <v>0.91398333333333337</v>
      </c>
      <c r="C19" s="16">
        <v>0.3520833333333333</v>
      </c>
      <c r="D19" s="15"/>
      <c r="E19" s="6" t="str">
        <f>A19</f>
        <v xml:space="preserve">T9 6/20/24 9PM </v>
      </c>
      <c r="F19" s="12">
        <f>B19/12.0107*1000</f>
        <v>76.097424241162742</v>
      </c>
      <c r="G19" s="12">
        <f>C19/14.0067*1000</f>
        <v>25.136779779200904</v>
      </c>
    </row>
    <row r="20" spans="1:7" x14ac:dyDescent="0.25">
      <c r="A20" s="6" t="s">
        <v>124</v>
      </c>
      <c r="B20" s="16">
        <v>1.0156833333333333</v>
      </c>
      <c r="C20" s="16">
        <v>0.38878333333333331</v>
      </c>
      <c r="D20" s="15"/>
      <c r="E20" s="6" t="str">
        <f t="shared" ref="E20:E38" si="3">A20</f>
        <v xml:space="preserve">T10 6/20/24 9PM </v>
      </c>
      <c r="F20" s="12">
        <f t="shared" ref="F20:F42" si="4">B20/12.0107*1000</f>
        <v>84.564874098373394</v>
      </c>
      <c r="G20" s="12">
        <f t="shared" ref="G20:G42" si="5">C20/14.0067*1000</f>
        <v>27.756954409913352</v>
      </c>
    </row>
    <row r="21" spans="1:7" x14ac:dyDescent="0.25">
      <c r="A21" s="6" t="s">
        <v>125</v>
      </c>
      <c r="B21" s="16">
        <v>1.7996833333333333</v>
      </c>
      <c r="C21" s="16">
        <v>0.43118333333333331</v>
      </c>
      <c r="D21" s="15"/>
      <c r="E21" s="6" t="str">
        <f t="shared" si="3"/>
        <v>T11 6/20/24 9PM</v>
      </c>
      <c r="F21" s="12">
        <f t="shared" si="4"/>
        <v>149.84000377441225</v>
      </c>
      <c r="G21" s="12">
        <f t="shared" si="5"/>
        <v>30.78407714403345</v>
      </c>
    </row>
    <row r="22" spans="1:7" x14ac:dyDescent="0.25">
      <c r="A22" s="6" t="s">
        <v>126</v>
      </c>
      <c r="B22" s="16">
        <v>2.479683333333333</v>
      </c>
      <c r="C22" s="16">
        <v>0.52578333333333327</v>
      </c>
      <c r="D22" s="15"/>
      <c r="E22" s="6" t="str">
        <f t="shared" si="3"/>
        <v xml:space="preserve">T12 6/20/24 9PM </v>
      </c>
      <c r="F22" s="12">
        <f t="shared" si="4"/>
        <v>206.456187677099</v>
      </c>
      <c r="G22" s="12">
        <f t="shared" si="5"/>
        <v>37.537987772518385</v>
      </c>
    </row>
    <row r="23" spans="1:7" x14ac:dyDescent="0.25">
      <c r="A23" s="6" t="s">
        <v>127</v>
      </c>
      <c r="B23" s="16">
        <v>1.0406833333333334</v>
      </c>
      <c r="C23" s="16">
        <v>0.39438333333333331</v>
      </c>
      <c r="D23" s="15"/>
      <c r="E23" s="6" t="str">
        <f t="shared" si="3"/>
        <v xml:space="preserve">T13 6/20/24 9PM </v>
      </c>
      <c r="F23" s="12">
        <f t="shared" si="4"/>
        <v>86.64635144773689</v>
      </c>
      <c r="G23" s="12">
        <f t="shared" si="5"/>
        <v>28.156763072910341</v>
      </c>
    </row>
    <row r="24" spans="1:7" x14ac:dyDescent="0.25">
      <c r="A24" s="6" t="s">
        <v>128</v>
      </c>
      <c r="B24" s="16">
        <v>1.6526833333333333</v>
      </c>
      <c r="C24" s="16">
        <v>0.63658333333333328</v>
      </c>
      <c r="D24" s="15"/>
      <c r="E24" s="6" t="str">
        <f t="shared" si="3"/>
        <v xml:space="preserve">T14 6/20/24 9PM </v>
      </c>
      <c r="F24" s="12">
        <f t="shared" si="4"/>
        <v>137.60091696015496</v>
      </c>
      <c r="G24" s="12">
        <f t="shared" si="5"/>
        <v>45.448487747530343</v>
      </c>
    </row>
    <row r="25" spans="1:7" x14ac:dyDescent="0.25">
      <c r="A25" s="6" t="s">
        <v>129</v>
      </c>
      <c r="B25" s="16">
        <v>1.1156833333333334</v>
      </c>
      <c r="C25" s="16">
        <v>0.25168333333333331</v>
      </c>
      <c r="D25" s="15"/>
      <c r="E25" s="6" t="str">
        <f t="shared" si="3"/>
        <v xml:space="preserve">T15 6/20/24 9PM </v>
      </c>
      <c r="F25" s="12">
        <f t="shared" si="4"/>
        <v>92.890783495827321</v>
      </c>
      <c r="G25" s="12">
        <f t="shared" si="5"/>
        <v>17.96878160689765</v>
      </c>
    </row>
    <row r="26" spans="1:7" x14ac:dyDescent="0.25">
      <c r="A26" s="6" t="s">
        <v>130</v>
      </c>
      <c r="B26" s="16">
        <v>1.1336833333333334</v>
      </c>
      <c r="C26" s="16">
        <v>0.3515833333333333</v>
      </c>
      <c r="E26" s="6" t="str">
        <f t="shared" si="3"/>
        <v xml:space="preserve">T16 6/20/24 9PM </v>
      </c>
      <c r="F26" s="12">
        <f t="shared" si="4"/>
        <v>94.389447187369043</v>
      </c>
      <c r="G26" s="12">
        <f t="shared" si="5"/>
        <v>25.101082577147601</v>
      </c>
    </row>
    <row r="27" spans="1:7" x14ac:dyDescent="0.25">
      <c r="A27" s="19" t="s">
        <v>28</v>
      </c>
      <c r="B27" s="20">
        <v>-3.2590000000000001E-2</v>
      </c>
      <c r="C27" s="20">
        <v>0</v>
      </c>
      <c r="E27" s="19" t="str">
        <f t="shared" si="3"/>
        <v>DIW</v>
      </c>
      <c r="F27" s="21">
        <f t="shared" si="4"/>
        <v>-2.7134138726302379</v>
      </c>
      <c r="G27" s="21">
        <f t="shared" si="5"/>
        <v>0</v>
      </c>
    </row>
    <row r="28" spans="1:7" x14ac:dyDescent="0.25">
      <c r="A28" s="19" t="s">
        <v>27</v>
      </c>
      <c r="B28" s="20">
        <v>0.89449999999999996</v>
      </c>
      <c r="C28" s="20">
        <v>5.296E-2</v>
      </c>
      <c r="E28" s="19" t="str">
        <f t="shared" si="3"/>
        <v>LNSW</v>
      </c>
      <c r="F28" s="21">
        <f t="shared" si="4"/>
        <v>74.475259560225467</v>
      </c>
      <c r="G28" s="21">
        <f t="shared" si="5"/>
        <v>3.78104764148586</v>
      </c>
    </row>
    <row r="29" spans="1:7" x14ac:dyDescent="0.25">
      <c r="A29" s="19" t="s">
        <v>31</v>
      </c>
      <c r="B29" s="20">
        <v>0.4973833333333334</v>
      </c>
      <c r="C29" s="20">
        <v>0.44208333333333333</v>
      </c>
      <c r="E29" s="19" t="str">
        <f t="shared" si="3"/>
        <v>DSWR [B24,L05-24]</v>
      </c>
      <c r="F29" s="21">
        <f t="shared" si="4"/>
        <v>41.411685691369648</v>
      </c>
      <c r="G29" s="21">
        <f t="shared" si="5"/>
        <v>31.562276148795455</v>
      </c>
    </row>
    <row r="30" spans="1:7" x14ac:dyDescent="0.25">
      <c r="A30" s="6" t="s">
        <v>131</v>
      </c>
      <c r="B30" s="16">
        <v>1.2556833333333335</v>
      </c>
      <c r="C30" s="16">
        <v>0.5476833333333333</v>
      </c>
      <c r="E30" s="6" t="str">
        <f t="shared" si="3"/>
        <v xml:space="preserve">IN_1 6/20/24 NOON </v>
      </c>
      <c r="F30" s="12">
        <f t="shared" si="4"/>
        <v>104.54705665226285</v>
      </c>
      <c r="G30" s="12">
        <f t="shared" si="5"/>
        <v>39.101525222453063</v>
      </c>
    </row>
    <row r="31" spans="1:7" x14ac:dyDescent="0.25">
      <c r="A31" s="6" t="s">
        <v>132</v>
      </c>
      <c r="B31" s="16">
        <v>1.1896833333333334</v>
      </c>
      <c r="C31" s="16">
        <v>0.1532033333333333</v>
      </c>
      <c r="E31" s="6" t="str">
        <f t="shared" si="3"/>
        <v xml:space="preserve">IN_2 6/20/24 NOON </v>
      </c>
      <c r="F31" s="12">
        <f t="shared" si="4"/>
        <v>99.051956449943262</v>
      </c>
      <c r="G31" s="12">
        <f t="shared" si="5"/>
        <v>10.937860690479077</v>
      </c>
    </row>
    <row r="32" spans="1:7" x14ac:dyDescent="0.25">
      <c r="A32" s="6" t="s">
        <v>133</v>
      </c>
      <c r="B32" s="16">
        <v>1.4956833333333335</v>
      </c>
      <c r="C32" s="16">
        <v>0.18098333333333333</v>
      </c>
      <c r="E32" s="6" t="str">
        <f t="shared" si="3"/>
        <v xml:space="preserve">T1 6/20/24 NOON </v>
      </c>
      <c r="F32" s="12">
        <f t="shared" si="4"/>
        <v>124.5292392061523</v>
      </c>
      <c r="G32" s="12">
        <f t="shared" si="5"/>
        <v>12.921197236560598</v>
      </c>
    </row>
    <row r="33" spans="1:7" x14ac:dyDescent="0.25">
      <c r="A33" s="6" t="s">
        <v>134</v>
      </c>
      <c r="B33" s="16">
        <v>1.1656833333333334</v>
      </c>
      <c r="C33" s="16">
        <v>0.19278333333333331</v>
      </c>
      <c r="E33" s="6" t="str">
        <f t="shared" si="3"/>
        <v xml:space="preserve">T2 6/20/24 NOON </v>
      </c>
      <c r="F33" s="12">
        <f t="shared" si="4"/>
        <v>97.053738194554299</v>
      </c>
      <c r="G33" s="12">
        <f t="shared" si="5"/>
        <v>13.763651205018549</v>
      </c>
    </row>
    <row r="34" spans="1:7" x14ac:dyDescent="0.25">
      <c r="A34" s="6" t="s">
        <v>135</v>
      </c>
      <c r="B34" s="16">
        <v>1.2316833333333335</v>
      </c>
      <c r="C34" s="16">
        <v>0.24588333333333331</v>
      </c>
      <c r="E34" s="6" t="str">
        <f t="shared" si="3"/>
        <v xml:space="preserve">T3 6/20/24 NOON </v>
      </c>
      <c r="F34" s="12">
        <f t="shared" si="4"/>
        <v>102.54883839687392</v>
      </c>
      <c r="G34" s="12">
        <f t="shared" si="5"/>
        <v>17.554694063079332</v>
      </c>
    </row>
    <row r="35" spans="1:7" x14ac:dyDescent="0.25">
      <c r="A35" s="6" t="s">
        <v>136</v>
      </c>
      <c r="B35" s="16">
        <v>2.3046833333333332</v>
      </c>
      <c r="C35" s="16">
        <v>0.24758333333333332</v>
      </c>
      <c r="D35" s="15"/>
      <c r="E35" s="6" t="str">
        <f t="shared" si="3"/>
        <v xml:space="preserve">T4 6/20/24 NOON </v>
      </c>
      <c r="F35" s="12">
        <f t="shared" si="4"/>
        <v>191.88584623155464</v>
      </c>
      <c r="G35" s="12">
        <f t="shared" si="5"/>
        <v>17.676064550060566</v>
      </c>
    </row>
    <row r="36" spans="1:7" x14ac:dyDescent="0.25">
      <c r="A36" s="6" t="s">
        <v>137</v>
      </c>
      <c r="B36" s="16">
        <v>1.0916833333333333</v>
      </c>
      <c r="C36" s="16">
        <v>0.2449833333333333</v>
      </c>
      <c r="D36" s="15"/>
      <c r="E36" s="6" t="str">
        <f t="shared" si="3"/>
        <v xml:space="preserve">T5 6/20/24 NOON </v>
      </c>
      <c r="F36" s="12">
        <f t="shared" si="4"/>
        <v>90.892565240438387</v>
      </c>
      <c r="G36" s="12">
        <f t="shared" si="5"/>
        <v>17.490439099383387</v>
      </c>
    </row>
    <row r="37" spans="1:7" x14ac:dyDescent="0.25">
      <c r="A37" s="6" t="s">
        <v>138</v>
      </c>
      <c r="B37" s="16">
        <v>1.2646833333333334</v>
      </c>
      <c r="C37" s="16">
        <v>0.41738333333333333</v>
      </c>
      <c r="D37" s="15"/>
      <c r="E37" s="6" t="str">
        <f t="shared" si="3"/>
        <v xml:space="preserve">T6 6/20/24 NOON </v>
      </c>
      <c r="F37" s="12">
        <f t="shared" si="4"/>
        <v>105.29638849803371</v>
      </c>
      <c r="G37" s="12">
        <f t="shared" si="5"/>
        <v>29.798834367362286</v>
      </c>
    </row>
    <row r="38" spans="1:7" x14ac:dyDescent="0.25">
      <c r="A38" s="6" t="s">
        <v>139</v>
      </c>
      <c r="B38" s="16">
        <v>2.173683333333333</v>
      </c>
      <c r="C38" s="16">
        <v>0.59178333333333333</v>
      </c>
      <c r="E38" s="6" t="str">
        <f t="shared" si="3"/>
        <v xml:space="preserve">T7 6/20/24 NOON </v>
      </c>
      <c r="F38" s="12">
        <f t="shared" si="4"/>
        <v>180.97890492088993</v>
      </c>
      <c r="G38" s="12">
        <f t="shared" si="5"/>
        <v>42.250018443554396</v>
      </c>
    </row>
    <row r="39" spans="1:7" x14ac:dyDescent="0.25">
      <c r="A39" s="6" t="s">
        <v>140</v>
      </c>
      <c r="B39" s="16">
        <v>1.2216833333333335</v>
      </c>
      <c r="C39" s="16">
        <v>0.4977833333333333</v>
      </c>
      <c r="E39" s="6" t="str">
        <f>A39</f>
        <v xml:space="preserve">T8 6/20/24 NOON </v>
      </c>
      <c r="F39" s="12">
        <f t="shared" si="4"/>
        <v>101.71624745712852</v>
      </c>
      <c r="G39" s="12">
        <f t="shared" si="5"/>
        <v>35.538944457533418</v>
      </c>
    </row>
    <row r="40" spans="1:7" x14ac:dyDescent="0.25">
      <c r="A40" s="19" t="s">
        <v>28</v>
      </c>
      <c r="B40" s="20">
        <v>-5.475E-2</v>
      </c>
      <c r="C40" s="20">
        <v>0</v>
      </c>
      <c r="E40" s="19" t="str">
        <f t="shared" ref="E40:E42" si="6">A40</f>
        <v>DIW</v>
      </c>
      <c r="F40" s="21">
        <f t="shared" si="4"/>
        <v>-4.5584353951060308</v>
      </c>
      <c r="G40" s="21">
        <f t="shared" si="5"/>
        <v>0</v>
      </c>
    </row>
    <row r="41" spans="1:7" x14ac:dyDescent="0.25">
      <c r="A41" s="19" t="s">
        <v>27</v>
      </c>
      <c r="B41" s="20">
        <v>0.87629999999999997</v>
      </c>
      <c r="C41" s="20">
        <v>5.7180000000000002E-2</v>
      </c>
      <c r="D41" s="15"/>
      <c r="E41" s="19" t="str">
        <f t="shared" si="6"/>
        <v>LNSW</v>
      </c>
      <c r="F41" s="21">
        <f t="shared" si="4"/>
        <v>72.959944049888847</v>
      </c>
      <c r="G41" s="21">
        <f t="shared" si="5"/>
        <v>4.0823320268157381</v>
      </c>
    </row>
    <row r="42" spans="1:7" x14ac:dyDescent="0.25">
      <c r="A42" s="19" t="s">
        <v>31</v>
      </c>
      <c r="B42" s="20">
        <v>0.51838333333333342</v>
      </c>
      <c r="C42" s="20">
        <v>0.43588333333333329</v>
      </c>
      <c r="D42" s="15"/>
      <c r="E42" s="19" t="str">
        <f t="shared" si="6"/>
        <v>DSWR [B24,L05-24]</v>
      </c>
      <c r="F42" s="21">
        <f t="shared" si="4"/>
        <v>43.160126664834969</v>
      </c>
      <c r="G42" s="21">
        <f t="shared" si="5"/>
        <v>31.119630843334495</v>
      </c>
    </row>
  </sheetData>
  <mergeCells count="3">
    <mergeCell ref="D1:G2"/>
    <mergeCell ref="D3:G3"/>
    <mergeCell ref="D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9B21-74D7-40B3-A16B-6509C7402DEC}">
  <dimension ref="A1:G49"/>
  <sheetViews>
    <sheetView topLeftCell="A12" zoomScaleNormal="100" workbookViewId="0">
      <selection activeCell="B52" sqref="B52"/>
    </sheetView>
  </sheetViews>
  <sheetFormatPr defaultRowHeight="15" x14ac:dyDescent="0.25"/>
  <cols>
    <col min="1" max="1" width="47.28515625" bestFit="1" customWidth="1"/>
    <col min="2" max="2" width="37.140625" bestFit="1" customWidth="1"/>
    <col min="3" max="3" width="14.5703125" customWidth="1"/>
    <col min="5" max="5" width="42.140625" bestFit="1" customWidth="1"/>
    <col min="6" max="6" width="15.5703125" customWidth="1"/>
    <col min="7" max="7" width="14" customWidth="1"/>
  </cols>
  <sheetData>
    <row r="1" spans="1:7" x14ac:dyDescent="0.25">
      <c r="A1" s="1" t="s">
        <v>0</v>
      </c>
      <c r="B1" s="2" t="s">
        <v>1</v>
      </c>
      <c r="D1" s="23" t="s">
        <v>2</v>
      </c>
      <c r="E1" s="24"/>
      <c r="F1" s="24"/>
      <c r="G1" s="25"/>
    </row>
    <row r="2" spans="1:7" ht="15.75" thickBot="1" x14ac:dyDescent="0.3">
      <c r="A2" s="1" t="s">
        <v>3</v>
      </c>
      <c r="B2" s="2">
        <v>1</v>
      </c>
      <c r="D2" s="26"/>
      <c r="E2" s="27"/>
      <c r="F2" s="27"/>
      <c r="G2" s="28"/>
    </row>
    <row r="3" spans="1:7" x14ac:dyDescent="0.25">
      <c r="A3" s="1" t="s">
        <v>4</v>
      </c>
      <c r="B3" s="14" t="s">
        <v>17</v>
      </c>
      <c r="D3" s="29" t="s">
        <v>29</v>
      </c>
      <c r="E3" s="30"/>
      <c r="F3" s="30"/>
      <c r="G3" s="31"/>
    </row>
    <row r="4" spans="1:7" ht="15.75" thickBot="1" x14ac:dyDescent="0.3">
      <c r="A4" s="1" t="s">
        <v>5</v>
      </c>
      <c r="B4" s="17">
        <v>45610</v>
      </c>
      <c r="C4" s="3"/>
      <c r="D4" s="32" t="s">
        <v>30</v>
      </c>
      <c r="E4" s="33"/>
      <c r="F4" s="33"/>
      <c r="G4" s="34"/>
    </row>
    <row r="5" spans="1:7" x14ac:dyDescent="0.25">
      <c r="A5" s="1" t="s">
        <v>6</v>
      </c>
      <c r="B5" s="18" t="s">
        <v>35</v>
      </c>
    </row>
    <row r="7" spans="1:7" ht="15" customHeight="1" x14ac:dyDescent="0.25"/>
    <row r="9" spans="1:7" x14ac:dyDescent="0.25">
      <c r="A9" s="4" t="s">
        <v>7</v>
      </c>
    </row>
    <row r="10" spans="1:7" x14ac:dyDescent="0.25">
      <c r="A10" s="5" t="s">
        <v>8</v>
      </c>
      <c r="B10" s="6" t="s">
        <v>9</v>
      </c>
    </row>
    <row r="11" spans="1:7" x14ac:dyDescent="0.25">
      <c r="A11" s="7"/>
      <c r="B11" s="10"/>
    </row>
    <row r="12" spans="1:7" x14ac:dyDescent="0.25">
      <c r="A12" t="s">
        <v>10</v>
      </c>
      <c r="E12" t="s">
        <v>11</v>
      </c>
    </row>
    <row r="13" spans="1:7" x14ac:dyDescent="0.25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5">
      <c r="A14" s="19" t="s">
        <v>28</v>
      </c>
      <c r="B14" s="20">
        <v>-3.62E-3</v>
      </c>
      <c r="C14" s="20">
        <v>0</v>
      </c>
      <c r="E14" s="19" t="str">
        <f>A14</f>
        <v>DIW</v>
      </c>
      <c r="F14" s="21">
        <f>B14/12.0107*1000</f>
        <v>-0.30139792018783251</v>
      </c>
      <c r="G14" s="21">
        <f>C14/14.0067*1000</f>
        <v>0</v>
      </c>
    </row>
    <row r="15" spans="1:7" x14ac:dyDescent="0.25">
      <c r="A15" s="19" t="s">
        <v>27</v>
      </c>
      <c r="B15" s="20">
        <v>0.86409999999999998</v>
      </c>
      <c r="C15" s="20">
        <v>5.042E-2</v>
      </c>
      <c r="E15" s="19" t="str">
        <f>A15</f>
        <v>LNSW</v>
      </c>
      <c r="F15" s="21">
        <f>B15/12.0107*1000</f>
        <v>71.944183103399467</v>
      </c>
      <c r="G15" s="21">
        <f>C15/14.0067*1000</f>
        <v>3.5997058550550807</v>
      </c>
    </row>
    <row r="16" spans="1:7" x14ac:dyDescent="0.25">
      <c r="A16" s="19" t="s">
        <v>31</v>
      </c>
      <c r="B16" s="20">
        <v>0.51223333333333299</v>
      </c>
      <c r="C16" s="20">
        <v>0.43455833333333299</v>
      </c>
      <c r="E16" s="19" t="str">
        <f>A16</f>
        <v>DSWR [B24,L05-24]</v>
      </c>
      <c r="F16" s="21">
        <f>B16/12.0107*1000</f>
        <v>42.648083236891523</v>
      </c>
      <c r="G16" s="21">
        <f>C16/14.0067*1000</f>
        <v>31.02503325789322</v>
      </c>
    </row>
    <row r="17" spans="1:7" x14ac:dyDescent="0.25">
      <c r="A17" s="6" t="s">
        <v>141</v>
      </c>
      <c r="B17" s="16">
        <v>1.0996333333333332</v>
      </c>
      <c r="C17" s="16">
        <v>0.24745833333333328</v>
      </c>
      <c r="D17" s="15"/>
      <c r="E17" s="6" t="str">
        <f t="shared" ref="E17:E18" si="0">A17</f>
        <v xml:space="preserve">T9 6/20/24 NOON </v>
      </c>
      <c r="F17" s="12">
        <f t="shared" ref="F17:F18" si="1">B17/12.0107*1000</f>
        <v>91.554475037535965</v>
      </c>
      <c r="G17" s="12">
        <f t="shared" ref="G17:G18" si="2">C17/14.0067*1000</f>
        <v>17.667140249547234</v>
      </c>
    </row>
    <row r="18" spans="1:7" x14ac:dyDescent="0.25">
      <c r="A18" s="6" t="s">
        <v>142</v>
      </c>
      <c r="B18" s="16">
        <v>1.2486333333333333</v>
      </c>
      <c r="C18" s="16">
        <v>0.24415833333333328</v>
      </c>
      <c r="D18" s="15"/>
      <c r="E18" s="6" t="str">
        <f t="shared" si="0"/>
        <v xml:space="preserve">T10 6/20/24 NOON </v>
      </c>
      <c r="F18" s="12">
        <f t="shared" si="1"/>
        <v>103.96008003974234</v>
      </c>
      <c r="G18" s="12">
        <f t="shared" si="2"/>
        <v>17.431538715995437</v>
      </c>
    </row>
    <row r="19" spans="1:7" x14ac:dyDescent="0.25">
      <c r="A19" s="6" t="s">
        <v>143</v>
      </c>
      <c r="B19" s="16">
        <v>1.3466333333333336</v>
      </c>
      <c r="C19" s="16">
        <v>0.25505833333333328</v>
      </c>
      <c r="D19" s="15"/>
      <c r="E19" s="6" t="str">
        <f>A19</f>
        <v xml:space="preserve">T11 6/20/24 NOON </v>
      </c>
      <c r="F19" s="12">
        <f>B19/12.0107*1000</f>
        <v>112.11947124924721</v>
      </c>
      <c r="G19" s="12">
        <f>C19/14.0067*1000</f>
        <v>18.209737720757442</v>
      </c>
    </row>
    <row r="20" spans="1:7" x14ac:dyDescent="0.25">
      <c r="A20" s="6" t="s">
        <v>144</v>
      </c>
      <c r="B20" s="16">
        <v>1.2176333333333336</v>
      </c>
      <c r="C20" s="16">
        <v>0.38375833333333331</v>
      </c>
      <c r="D20" s="15"/>
      <c r="E20" s="6" t="str">
        <f t="shared" ref="E20:E38" si="3">A20</f>
        <v xml:space="preserve">T12 6/20/24 NOON </v>
      </c>
      <c r="F20" s="12">
        <f t="shared" ref="F20:F49" si="4">B20/12.0107*1000</f>
        <v>101.37904812653164</v>
      </c>
      <c r="G20" s="12">
        <f t="shared" ref="G20:G49" si="5">C20/14.0067*1000</f>
        <v>27.398197529277653</v>
      </c>
    </row>
    <row r="21" spans="1:7" x14ac:dyDescent="0.25">
      <c r="A21" s="6" t="s">
        <v>145</v>
      </c>
      <c r="B21" s="16">
        <v>0.9348333333333334</v>
      </c>
      <c r="C21" s="16">
        <v>0.33915833333333328</v>
      </c>
      <c r="D21" s="15"/>
      <c r="E21" s="6" t="str">
        <f t="shared" si="3"/>
        <v>T13 6/20/24 NOON</v>
      </c>
      <c r="F21" s="12">
        <f t="shared" si="4"/>
        <v>77.833376350531893</v>
      </c>
      <c r="G21" s="12">
        <f t="shared" si="5"/>
        <v>24.21400710612302</v>
      </c>
    </row>
    <row r="22" spans="1:7" x14ac:dyDescent="0.25">
      <c r="A22" s="6" t="s">
        <v>146</v>
      </c>
      <c r="B22" s="16">
        <v>1.3726333333333334</v>
      </c>
      <c r="C22" s="16">
        <v>0.25745833333333329</v>
      </c>
      <c r="D22" s="15"/>
      <c r="E22" s="6" t="str">
        <f t="shared" si="3"/>
        <v xml:space="preserve">T14 6/20/24 NOON </v>
      </c>
      <c r="F22" s="12">
        <f t="shared" si="4"/>
        <v>114.28420769258523</v>
      </c>
      <c r="G22" s="12">
        <f t="shared" si="5"/>
        <v>18.381084290613298</v>
      </c>
    </row>
    <row r="23" spans="1:7" x14ac:dyDescent="0.25">
      <c r="A23" s="6" t="s">
        <v>147</v>
      </c>
      <c r="B23" s="16">
        <v>4.5136333333333329</v>
      </c>
      <c r="C23" s="16">
        <v>0.6579583333333332</v>
      </c>
      <c r="D23" s="15"/>
      <c r="E23" s="6" t="str">
        <f t="shared" si="3"/>
        <v xml:space="preserve">T15 6/20/24 NOON </v>
      </c>
      <c r="F23" s="12">
        <f t="shared" si="4"/>
        <v>375.80102186661333</v>
      </c>
      <c r="G23" s="12">
        <f t="shared" si="5"/>
        <v>46.974543135309041</v>
      </c>
    </row>
    <row r="24" spans="1:7" x14ac:dyDescent="0.25">
      <c r="A24" s="6" t="s">
        <v>148</v>
      </c>
      <c r="B24" s="16">
        <v>1.0676333333333332</v>
      </c>
      <c r="C24" s="16">
        <v>0.50005833333333327</v>
      </c>
      <c r="D24" s="15"/>
      <c r="E24" s="6" t="str">
        <f t="shared" si="3"/>
        <v xml:space="preserve">T16 6/20/24 NOON </v>
      </c>
      <c r="F24" s="12">
        <f t="shared" si="4"/>
        <v>88.89018403035071</v>
      </c>
      <c r="G24" s="12">
        <f t="shared" si="5"/>
        <v>35.701366726875939</v>
      </c>
    </row>
    <row r="25" spans="1:7" x14ac:dyDescent="0.25">
      <c r="A25" s="6" t="s">
        <v>149</v>
      </c>
      <c r="B25" s="16">
        <v>1.9116333333333335</v>
      </c>
      <c r="C25" s="16">
        <v>0.39335833333333331</v>
      </c>
      <c r="D25" s="15"/>
      <c r="E25" s="6" t="str">
        <f t="shared" si="3"/>
        <v xml:space="preserve">C1 6/26/24 14:00 </v>
      </c>
      <c r="F25" s="12">
        <f t="shared" si="4"/>
        <v>159.16085934486196</v>
      </c>
      <c r="G25" s="12">
        <f t="shared" si="5"/>
        <v>28.083583808701071</v>
      </c>
    </row>
    <row r="26" spans="1:7" x14ac:dyDescent="0.25">
      <c r="A26" s="6" t="s">
        <v>150</v>
      </c>
      <c r="B26" s="16">
        <v>1.5196333333333332</v>
      </c>
      <c r="C26" s="16">
        <v>0.78675833333333323</v>
      </c>
      <c r="E26" s="6" t="str">
        <f t="shared" si="3"/>
        <v xml:space="preserve">C2 6/26/24 14:00 </v>
      </c>
      <c r="F26" s="12">
        <f t="shared" si="4"/>
        <v>126.52329450684249</v>
      </c>
      <c r="G26" s="12">
        <f t="shared" si="5"/>
        <v>56.170142384239917</v>
      </c>
    </row>
    <row r="27" spans="1:7" x14ac:dyDescent="0.25">
      <c r="A27" s="19" t="s">
        <v>28</v>
      </c>
      <c r="B27" s="20">
        <v>7.9399999999999991E-3</v>
      </c>
      <c r="C27" s="20">
        <v>0</v>
      </c>
      <c r="E27" s="19" t="str">
        <f t="shared" si="3"/>
        <v>DIW</v>
      </c>
      <c r="F27" s="21">
        <f t="shared" si="4"/>
        <v>0.6610772061578426</v>
      </c>
      <c r="G27" s="21">
        <f t="shared" si="5"/>
        <v>0</v>
      </c>
    </row>
    <row r="28" spans="1:7" x14ac:dyDescent="0.25">
      <c r="A28" s="19" t="s">
        <v>27</v>
      </c>
      <c r="B28" s="20">
        <v>0.85240000000000005</v>
      </c>
      <c r="C28" s="20">
        <v>5.9549999999999999E-2</v>
      </c>
      <c r="E28" s="19" t="str">
        <f t="shared" si="3"/>
        <v>LNSW</v>
      </c>
      <c r="F28" s="21">
        <f t="shared" si="4"/>
        <v>70.970051703897369</v>
      </c>
      <c r="G28" s="21">
        <f t="shared" si="5"/>
        <v>4.2515367645483941</v>
      </c>
    </row>
    <row r="29" spans="1:7" x14ac:dyDescent="0.25">
      <c r="A29" s="19" t="s">
        <v>31</v>
      </c>
      <c r="B29" s="20">
        <v>0.50493333333333301</v>
      </c>
      <c r="C29" s="20">
        <v>0.44075833333333297</v>
      </c>
      <c r="E29" s="19" t="str">
        <f t="shared" si="3"/>
        <v>DSWR [B24,L05-24]</v>
      </c>
      <c r="F29" s="21">
        <f t="shared" si="4"/>
        <v>42.040291850877381</v>
      </c>
      <c r="G29" s="21">
        <f t="shared" si="5"/>
        <v>31.467678563354173</v>
      </c>
    </row>
    <row r="30" spans="1:7" x14ac:dyDescent="0.25">
      <c r="A30" s="6" t="s">
        <v>151</v>
      </c>
      <c r="B30" s="16">
        <v>2.2136333333333331</v>
      </c>
      <c r="C30" s="16">
        <v>0.43405833333333327</v>
      </c>
      <c r="E30" s="6" t="str">
        <f t="shared" si="3"/>
        <v xml:space="preserve">C3 6/26/24 14:00 </v>
      </c>
      <c r="F30" s="12">
        <f t="shared" si="4"/>
        <v>184.30510572517281</v>
      </c>
      <c r="G30" s="12">
        <f t="shared" si="5"/>
        <v>30.989336055839935</v>
      </c>
    </row>
    <row r="31" spans="1:7" x14ac:dyDescent="0.25">
      <c r="A31" s="6" t="s">
        <v>152</v>
      </c>
      <c r="B31" s="16">
        <v>1.5636333333333332</v>
      </c>
      <c r="C31" s="16">
        <v>0.9402583333333332</v>
      </c>
      <c r="E31" s="6" t="str">
        <f t="shared" si="3"/>
        <v xml:space="preserve">C4 6/26/24 14:00 </v>
      </c>
      <c r="F31" s="12">
        <f t="shared" si="4"/>
        <v>130.18669464172223</v>
      </c>
      <c r="G31" s="12">
        <f t="shared" si="5"/>
        <v>67.129183414603958</v>
      </c>
    </row>
    <row r="32" spans="1:7" x14ac:dyDescent="0.25">
      <c r="A32" s="6" t="s">
        <v>153</v>
      </c>
      <c r="B32" s="16">
        <v>1.1926333333333332</v>
      </c>
      <c r="C32" s="16">
        <v>0.62435833333333335</v>
      </c>
      <c r="E32" s="6" t="str">
        <f t="shared" si="3"/>
        <v xml:space="preserve">C5 6/26/24 14:00 </v>
      </c>
      <c r="F32" s="12">
        <f t="shared" si="4"/>
        <v>99.297570777168119</v>
      </c>
      <c r="G32" s="12">
        <f t="shared" si="5"/>
        <v>44.575691157327093</v>
      </c>
    </row>
    <row r="33" spans="1:7" x14ac:dyDescent="0.25">
      <c r="A33" s="6" t="s">
        <v>154</v>
      </c>
      <c r="B33" s="16">
        <v>1.1846333333333332</v>
      </c>
      <c r="C33" s="16">
        <v>0.93765833333333326</v>
      </c>
      <c r="E33" s="6" t="str">
        <f t="shared" si="3"/>
        <v xml:space="preserve">C6 6/26/24 14:00 </v>
      </c>
      <c r="F33" s="12">
        <f t="shared" si="4"/>
        <v>98.631498025371812</v>
      </c>
      <c r="G33" s="12">
        <f t="shared" si="5"/>
        <v>66.943557963926793</v>
      </c>
    </row>
    <row r="34" spans="1:7" x14ac:dyDescent="0.25">
      <c r="A34" s="6" t="s">
        <v>155</v>
      </c>
      <c r="B34" s="16">
        <v>1.8966333333333334</v>
      </c>
      <c r="C34" s="16">
        <v>0.66265833333333335</v>
      </c>
      <c r="E34" s="6" t="str">
        <f t="shared" si="3"/>
        <v xml:space="preserve">C7 6/26/24 14:00 </v>
      </c>
      <c r="F34" s="12">
        <f t="shared" si="4"/>
        <v>157.91197293524385</v>
      </c>
      <c r="G34" s="12">
        <f t="shared" si="5"/>
        <v>47.310096834610107</v>
      </c>
    </row>
    <row r="35" spans="1:7" x14ac:dyDescent="0.25">
      <c r="A35" s="6" t="s">
        <v>156</v>
      </c>
      <c r="B35" s="16">
        <v>1.1026333333333334</v>
      </c>
      <c r="C35" s="16">
        <v>0.33565833333333328</v>
      </c>
      <c r="D35" s="15"/>
      <c r="E35" s="6" t="str">
        <f t="shared" si="3"/>
        <v>C8 6/26/24 14:00</v>
      </c>
      <c r="F35" s="12">
        <f t="shared" si="4"/>
        <v>91.804252319459607</v>
      </c>
      <c r="G35" s="12">
        <f t="shared" si="5"/>
        <v>23.964126691749897</v>
      </c>
    </row>
    <row r="36" spans="1:7" x14ac:dyDescent="0.25">
      <c r="A36" s="6" t="s">
        <v>157</v>
      </c>
      <c r="B36" s="16">
        <v>1.1616333333333335</v>
      </c>
      <c r="C36" s="16">
        <v>0.45715833333333328</v>
      </c>
      <c r="D36" s="15"/>
      <c r="E36" s="6" t="str">
        <f t="shared" si="3"/>
        <v xml:space="preserve">C9 6/26/24 14:00 </v>
      </c>
      <c r="F36" s="12">
        <f t="shared" si="4"/>
        <v>96.716538863957439</v>
      </c>
      <c r="G36" s="12">
        <f t="shared" si="5"/>
        <v>32.638546790702542</v>
      </c>
    </row>
    <row r="37" spans="1:7" x14ac:dyDescent="0.25">
      <c r="A37" s="6" t="s">
        <v>158</v>
      </c>
      <c r="B37" s="16">
        <v>1.2246333333333332</v>
      </c>
      <c r="C37" s="16">
        <v>0.66585833333333322</v>
      </c>
      <c r="D37" s="15"/>
      <c r="E37" s="6" t="str">
        <f t="shared" si="3"/>
        <v xml:space="preserve">C10 6/26/24 14:00 </v>
      </c>
      <c r="F37" s="12">
        <f t="shared" si="4"/>
        <v>101.96186178435339</v>
      </c>
      <c r="G37" s="12">
        <f t="shared" si="5"/>
        <v>47.538558927751232</v>
      </c>
    </row>
    <row r="38" spans="1:7" x14ac:dyDescent="0.25">
      <c r="A38" s="6" t="s">
        <v>159</v>
      </c>
      <c r="B38" s="16">
        <v>1.0736333333333334</v>
      </c>
      <c r="C38" s="16">
        <v>0.52835833333333326</v>
      </c>
      <c r="E38" s="6" t="str">
        <f t="shared" si="3"/>
        <v xml:space="preserve">C11 6/26/24 14:00 </v>
      </c>
      <c r="F38" s="12">
        <f t="shared" si="4"/>
        <v>89.389738594197965</v>
      </c>
      <c r="G38" s="12">
        <f t="shared" si="5"/>
        <v>37.721828363092897</v>
      </c>
    </row>
    <row r="39" spans="1:7" x14ac:dyDescent="0.25">
      <c r="A39" s="6" t="s">
        <v>160</v>
      </c>
      <c r="B39" s="16">
        <v>1.1376333333333335</v>
      </c>
      <c r="C39" s="16">
        <v>0.45255833333333328</v>
      </c>
      <c r="E39" s="6" t="str">
        <f>A39</f>
        <v xml:space="preserve">C12 6/26/24 14:00 </v>
      </c>
      <c r="F39" s="12">
        <f t="shared" si="4"/>
        <v>94.718320608568476</v>
      </c>
      <c r="G39" s="12">
        <f t="shared" si="5"/>
        <v>32.310132531812158</v>
      </c>
    </row>
    <row r="40" spans="1:7" x14ac:dyDescent="0.25">
      <c r="A40" s="19" t="s">
        <v>28</v>
      </c>
      <c r="B40" s="20">
        <v>-1.3440000000000001E-2</v>
      </c>
      <c r="C40" s="20">
        <v>0</v>
      </c>
      <c r="E40" s="19" t="str">
        <f t="shared" ref="E40:E49" si="6">A40</f>
        <v>DIW</v>
      </c>
      <c r="F40" s="21">
        <f t="shared" si="4"/>
        <v>-1.1190022230178092</v>
      </c>
      <c r="G40" s="21">
        <f t="shared" si="5"/>
        <v>0</v>
      </c>
    </row>
    <row r="41" spans="1:7" x14ac:dyDescent="0.25">
      <c r="A41" s="19" t="s">
        <v>27</v>
      </c>
      <c r="B41" s="20">
        <v>0.86699999999999999</v>
      </c>
      <c r="C41" s="20">
        <v>5.296E-2</v>
      </c>
      <c r="D41" s="15"/>
      <c r="E41" s="19" t="str">
        <f t="shared" si="6"/>
        <v>LNSW</v>
      </c>
      <c r="F41" s="21">
        <f t="shared" si="4"/>
        <v>72.185634475925625</v>
      </c>
      <c r="G41" s="21">
        <f t="shared" si="5"/>
        <v>3.78104764148586</v>
      </c>
    </row>
    <row r="42" spans="1:7" x14ac:dyDescent="0.25">
      <c r="A42" s="19" t="s">
        <v>31</v>
      </c>
      <c r="B42" s="20">
        <v>0.50693333333333335</v>
      </c>
      <c r="C42" s="20">
        <v>0.44725833333333331</v>
      </c>
      <c r="D42" s="15"/>
      <c r="E42" s="19" t="str">
        <f t="shared" si="6"/>
        <v>DSWR [B24,L05-24]</v>
      </c>
      <c r="F42" s="21">
        <f t="shared" si="4"/>
        <v>42.206810038826497</v>
      </c>
      <c r="G42" s="21">
        <f t="shared" si="5"/>
        <v>31.931742190047142</v>
      </c>
    </row>
    <row r="43" spans="1:7" x14ac:dyDescent="0.25">
      <c r="A43" s="6" t="s">
        <v>161</v>
      </c>
      <c r="B43" s="16">
        <v>2.1056333333333335</v>
      </c>
      <c r="C43" s="16">
        <v>0.6277583333333332</v>
      </c>
      <c r="D43" s="15"/>
      <c r="E43" s="6" t="str">
        <f t="shared" si="6"/>
        <v xml:space="preserve">C13 6/26/24 14:00 </v>
      </c>
      <c r="F43" s="12">
        <f t="shared" si="4"/>
        <v>175.31312357592259</v>
      </c>
      <c r="G43" s="12">
        <f t="shared" si="5"/>
        <v>44.818432131289541</v>
      </c>
    </row>
    <row r="44" spans="1:7" x14ac:dyDescent="0.25">
      <c r="A44" s="6" t="s">
        <v>162</v>
      </c>
      <c r="B44" s="16">
        <v>1.2546333333333335</v>
      </c>
      <c r="C44" s="16">
        <v>0.4206583333333333</v>
      </c>
      <c r="D44" s="15"/>
      <c r="E44" s="6" t="str">
        <f t="shared" si="6"/>
        <v xml:space="preserve">C14 6/26/24 14:00 </v>
      </c>
      <c r="F44" s="12">
        <f t="shared" si="4"/>
        <v>104.45963460358959</v>
      </c>
      <c r="G44" s="12">
        <f t="shared" si="5"/>
        <v>30.032651040811416</v>
      </c>
    </row>
    <row r="45" spans="1:7" x14ac:dyDescent="0.25">
      <c r="A45" s="6" t="s">
        <v>163</v>
      </c>
      <c r="B45" s="16">
        <v>1.5046333333333335</v>
      </c>
      <c r="C45" s="16">
        <v>0.32635833333333331</v>
      </c>
      <c r="D45" s="15"/>
      <c r="E45" s="6" t="str">
        <f t="shared" si="6"/>
        <v xml:space="preserve">C15 6/26/24 14:00 </v>
      </c>
      <c r="F45" s="12">
        <f t="shared" si="4"/>
        <v>125.27440809722442</v>
      </c>
      <c r="G45" s="12">
        <f t="shared" si="5"/>
        <v>23.300158733558462</v>
      </c>
    </row>
    <row r="46" spans="1:7" x14ac:dyDescent="0.25">
      <c r="A46" s="6" t="s">
        <v>164</v>
      </c>
      <c r="B46" s="16">
        <v>2.7196333333333333</v>
      </c>
      <c r="C46" s="16">
        <v>0.82945833333333319</v>
      </c>
      <c r="D46" s="15"/>
      <c r="E46" s="6" t="str">
        <f t="shared" si="6"/>
        <v xml:space="preserve">C16 6/26/24 14:00 </v>
      </c>
      <c r="F46" s="12">
        <f t="shared" si="4"/>
        <v>226.43420727628975</v>
      </c>
      <c r="G46" s="12">
        <f t="shared" si="5"/>
        <v>59.218683439591999</v>
      </c>
    </row>
    <row r="47" spans="1:7" x14ac:dyDescent="0.25">
      <c r="A47" s="19" t="s">
        <v>28</v>
      </c>
      <c r="B47" s="20">
        <v>-4.9500000000000004E-3</v>
      </c>
      <c r="C47" s="20">
        <v>0</v>
      </c>
      <c r="E47" s="19" t="str">
        <f t="shared" si="6"/>
        <v>DIW</v>
      </c>
      <c r="F47" s="21">
        <f t="shared" si="4"/>
        <v>-0.41213251517396987</v>
      </c>
      <c r="G47" s="21">
        <f t="shared" si="5"/>
        <v>0</v>
      </c>
    </row>
    <row r="48" spans="1:7" x14ac:dyDescent="0.25">
      <c r="A48" s="19" t="s">
        <v>27</v>
      </c>
      <c r="B48" s="20">
        <v>0.90400000000000003</v>
      </c>
      <c r="C48" s="20">
        <v>5.2859999999999997E-2</v>
      </c>
      <c r="D48" s="15"/>
      <c r="E48" s="19" t="str">
        <f t="shared" si="6"/>
        <v>LNSW</v>
      </c>
      <c r="F48" s="21">
        <f t="shared" si="4"/>
        <v>75.266220952983588</v>
      </c>
      <c r="G48" s="21">
        <f t="shared" si="5"/>
        <v>3.7739082010751992</v>
      </c>
    </row>
    <row r="49" spans="1:7" x14ac:dyDescent="0.25">
      <c r="A49" s="19" t="s">
        <v>31</v>
      </c>
      <c r="B49" s="20">
        <v>0.51323333333333299</v>
      </c>
      <c r="C49" s="20">
        <v>0.43385833333333301</v>
      </c>
      <c r="D49" s="15"/>
      <c r="E49" s="19" t="str">
        <f t="shared" si="6"/>
        <v>DSWR [B24,L05-24]</v>
      </c>
      <c r="F49" s="21">
        <f t="shared" si="4"/>
        <v>42.731342330866063</v>
      </c>
      <c r="G49" s="21">
        <f t="shared" si="5"/>
        <v>30.975057175018598</v>
      </c>
    </row>
  </sheetData>
  <mergeCells count="3">
    <mergeCell ref="D1:G2"/>
    <mergeCell ref="D3:G3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Results</vt:lpstr>
      <vt:lpstr>Run File 09.10.24</vt:lpstr>
      <vt:lpstr>Run File 10.15.24</vt:lpstr>
      <vt:lpstr>Run File 10.22.24</vt:lpstr>
      <vt:lpstr>Run File 11.14.24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SLAB</dc:creator>
  <cp:lastModifiedBy>Danielle Hull</cp:lastModifiedBy>
  <dcterms:created xsi:type="dcterms:W3CDTF">2020-10-19T22:59:09Z</dcterms:created>
  <dcterms:modified xsi:type="dcterms:W3CDTF">2025-01-03T05:34:08Z</dcterms:modified>
</cp:coreProperties>
</file>