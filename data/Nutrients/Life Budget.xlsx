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esktop/Git Hub Repository/MOBEAST/data/Nutrients/"/>
    </mc:Choice>
  </mc:AlternateContent>
  <xr:revisionPtr revIDLastSave="0" documentId="13_ncr:1_{96DB2A72-5485-DB4D-BBE5-BE1E71CB506D}" xr6:coauthVersionLast="47" xr6:coauthVersionMax="47" xr10:uidLastSave="{00000000-0000-0000-0000-000000000000}"/>
  <bookViews>
    <workbookView xWindow="1100" yWindow="820" windowWidth="28040" windowHeight="17300" activeTab="2" xr2:uid="{C0D20522-729A-9E49-BB3A-00A52D58EA3A}"/>
  </bookViews>
  <sheets>
    <sheet name="2026 Template" sheetId="3" r:id="rId1"/>
    <sheet name="September 2026" sheetId="2" r:id="rId2"/>
    <sheet name="October 202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20" i="4"/>
  <c r="B19" i="4"/>
  <c r="B17" i="3"/>
  <c r="B19" i="3" s="1"/>
  <c r="B15" i="3"/>
  <c r="B16" i="2"/>
  <c r="B15" i="2"/>
  <c r="G7" i="2"/>
  <c r="F1" i="2"/>
  <c r="B21" i="4" l="1"/>
  <c r="B24" i="4" s="1"/>
  <c r="B17" i="2"/>
  <c r="B20" i="2" s="1"/>
</calcChain>
</file>

<file path=xl/sharedStrings.xml><?xml version="1.0" encoding="utf-8"?>
<sst xmlns="http://schemas.openxmlformats.org/spreadsheetml/2006/main" count="79" uniqueCount="44">
  <si>
    <t xml:space="preserve">Fixed Costs </t>
  </si>
  <si>
    <t>Variable Costs</t>
  </si>
  <si>
    <t>Rent</t>
  </si>
  <si>
    <t>Phone</t>
  </si>
  <si>
    <t>Phone Tahiti</t>
  </si>
  <si>
    <t xml:space="preserve">Apple Care </t>
  </si>
  <si>
    <t xml:space="preserve">September Budget </t>
  </si>
  <si>
    <t xml:space="preserve">Plane Ticket Shenzhen </t>
  </si>
  <si>
    <t>Income</t>
  </si>
  <si>
    <t xml:space="preserve">Total Fixed </t>
  </si>
  <si>
    <t>Total Variable</t>
  </si>
  <si>
    <t>Total All</t>
  </si>
  <si>
    <t xml:space="preserve">Net </t>
  </si>
  <si>
    <t>Netflix</t>
  </si>
  <si>
    <t>Disney+</t>
  </si>
  <si>
    <t>Food &amp; Drinks</t>
  </si>
  <si>
    <t>Groceries</t>
  </si>
  <si>
    <t>Camping</t>
  </si>
  <si>
    <t>Amazon Prime</t>
  </si>
  <si>
    <t>Spotify</t>
  </si>
  <si>
    <t xml:space="preserve">Bank Withdrawal </t>
  </si>
  <si>
    <t>Revolut deposit</t>
  </si>
  <si>
    <t xml:space="preserve">Uber </t>
  </si>
  <si>
    <t xml:space="preserve">Shopping </t>
  </si>
  <si>
    <t>NordVPN</t>
  </si>
  <si>
    <t xml:space="preserve">BILT card </t>
  </si>
  <si>
    <t>Discover</t>
  </si>
  <si>
    <t>26日</t>
  </si>
  <si>
    <t>1日</t>
  </si>
  <si>
    <t>19日</t>
  </si>
  <si>
    <t>2日</t>
  </si>
  <si>
    <t>30日</t>
  </si>
  <si>
    <t>16日</t>
  </si>
  <si>
    <t>Net</t>
  </si>
  <si>
    <t>BILT up until 08/10</t>
  </si>
  <si>
    <t>Income 2</t>
  </si>
  <si>
    <t>Income 1</t>
  </si>
  <si>
    <t>Income Total</t>
  </si>
  <si>
    <t>Discover up until 08/10</t>
  </si>
  <si>
    <t>Chase up until 08/10</t>
  </si>
  <si>
    <t>est</t>
  </si>
  <si>
    <t xml:space="preserve">Car Camping </t>
  </si>
  <si>
    <t xml:space="preserve">amazon </t>
  </si>
  <si>
    <t xml:space="preserve">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</si>
</sst>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" fontId="2" fillId="0" borderId="0" xfId="0" applyNumberFormat="1" applyFont="1"/>
    <xf numFmtId="16" fontId="2" fillId="0" borderId="0" xfId="0" applyNumberFormat="1" applyFont="1" applyAlignment="1">
      <alignment horizontal="right"/>
    </xf>
    <xf numFmtId="0" fontId="0" fillId="2" borderId="0" xfId="0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C84E-A397-2242-855A-DBF01C62251D}">
  <dimension ref="A1:G19"/>
  <sheetViews>
    <sheetView workbookViewId="0">
      <selection activeCell="B19" sqref="B19"/>
    </sheetView>
  </sheetViews>
  <sheetFormatPr baseColWidth="10" defaultRowHeight="16" x14ac:dyDescent="0.2"/>
  <cols>
    <col min="1" max="1" width="13.1640625" customWidth="1"/>
    <col min="2" max="2" width="12.83203125" customWidth="1"/>
    <col min="6" max="6" width="16.6640625" customWidth="1"/>
  </cols>
  <sheetData>
    <row r="1" spans="1:7" x14ac:dyDescent="0.2">
      <c r="A1" s="3"/>
      <c r="B1" s="8" t="s">
        <v>6</v>
      </c>
      <c r="C1" s="8"/>
      <c r="D1" s="8"/>
      <c r="E1" s="4" t="s">
        <v>8</v>
      </c>
      <c r="F1" s="3">
        <v>2560.17</v>
      </c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8" t="s">
        <v>0</v>
      </c>
      <c r="C3" s="8"/>
      <c r="D3" s="3"/>
      <c r="E3" s="3"/>
      <c r="F3" s="8" t="s">
        <v>1</v>
      </c>
      <c r="G3" s="8"/>
    </row>
    <row r="4" spans="1:7" x14ac:dyDescent="0.2">
      <c r="A4" s="6" t="s">
        <v>28</v>
      </c>
      <c r="B4" s="3" t="s">
        <v>2</v>
      </c>
      <c r="C4" s="3">
        <v>730</v>
      </c>
      <c r="D4" s="3"/>
      <c r="E4" s="5"/>
      <c r="F4" s="3"/>
      <c r="G4" s="3"/>
    </row>
    <row r="5" spans="1:7" x14ac:dyDescent="0.2">
      <c r="A5" s="6" t="s">
        <v>27</v>
      </c>
      <c r="B5" s="3" t="s">
        <v>3</v>
      </c>
      <c r="C5" s="3">
        <v>70</v>
      </c>
      <c r="D5" s="3"/>
      <c r="E5" s="3"/>
      <c r="F5" s="3"/>
      <c r="G5" s="3"/>
    </row>
    <row r="6" spans="1:7" x14ac:dyDescent="0.2">
      <c r="A6" s="6" t="s">
        <v>28</v>
      </c>
      <c r="B6" s="3" t="s">
        <v>4</v>
      </c>
      <c r="C6" s="3">
        <v>10</v>
      </c>
      <c r="D6" s="3"/>
      <c r="E6" s="3"/>
      <c r="F6" s="3"/>
      <c r="G6" s="3"/>
    </row>
    <row r="7" spans="1:7" x14ac:dyDescent="0.2">
      <c r="A7" s="6" t="s">
        <v>27</v>
      </c>
      <c r="B7" s="3" t="s">
        <v>5</v>
      </c>
      <c r="C7" s="3">
        <v>9</v>
      </c>
      <c r="D7" s="3"/>
      <c r="E7" s="3"/>
      <c r="F7" s="3"/>
      <c r="G7" s="3"/>
    </row>
    <row r="8" spans="1:7" x14ac:dyDescent="0.2">
      <c r="A8" s="6" t="s">
        <v>29</v>
      </c>
      <c r="B8" s="3" t="s">
        <v>13</v>
      </c>
      <c r="C8" s="3">
        <v>19</v>
      </c>
      <c r="D8" s="3"/>
      <c r="E8" s="3"/>
      <c r="F8" s="3"/>
      <c r="G8" s="3"/>
    </row>
    <row r="9" spans="1:7" x14ac:dyDescent="0.2">
      <c r="A9" s="6" t="s">
        <v>29</v>
      </c>
      <c r="B9" s="3" t="s">
        <v>14</v>
      </c>
      <c r="C9" s="3">
        <v>17</v>
      </c>
      <c r="D9" s="3"/>
      <c r="E9" s="3"/>
      <c r="F9" s="3"/>
      <c r="G9" s="3"/>
    </row>
    <row r="10" spans="1:7" x14ac:dyDescent="0.2">
      <c r="A10" s="6" t="s">
        <v>30</v>
      </c>
      <c r="B10" s="3" t="s">
        <v>18</v>
      </c>
      <c r="C10" s="3">
        <v>16</v>
      </c>
      <c r="D10" s="3"/>
      <c r="E10" s="3"/>
      <c r="F10" s="3"/>
      <c r="G10" s="3"/>
    </row>
    <row r="11" spans="1:7" x14ac:dyDescent="0.2">
      <c r="A11" s="6" t="s">
        <v>31</v>
      </c>
      <c r="B11" s="3" t="s">
        <v>19</v>
      </c>
      <c r="C11" s="3">
        <v>7</v>
      </c>
      <c r="D11" s="3"/>
      <c r="E11" s="3"/>
      <c r="F11" s="3"/>
      <c r="G11" s="3"/>
    </row>
    <row r="12" spans="1:7" x14ac:dyDescent="0.2">
      <c r="A12" s="6" t="s">
        <v>32</v>
      </c>
      <c r="B12" s="3" t="s">
        <v>24</v>
      </c>
      <c r="C12" s="3">
        <v>15</v>
      </c>
      <c r="D12" s="3"/>
      <c r="E12" s="3"/>
      <c r="F12" s="3"/>
      <c r="G12" s="3"/>
    </row>
    <row r="13" spans="1:7" x14ac:dyDescent="0.2">
      <c r="A13" s="3"/>
      <c r="B13" s="3"/>
      <c r="C13" s="3"/>
      <c r="D13" s="3"/>
      <c r="E13" s="3"/>
      <c r="F13" s="3"/>
      <c r="G13" s="3"/>
    </row>
    <row r="14" spans="1:7" x14ac:dyDescent="0.2">
      <c r="A14" s="3"/>
      <c r="B14" s="3"/>
      <c r="C14" s="3"/>
      <c r="D14" s="3"/>
      <c r="E14" s="3"/>
      <c r="F14" s="3"/>
      <c r="G14" s="3"/>
    </row>
    <row r="15" spans="1:7" x14ac:dyDescent="0.2">
      <c r="A15" s="3" t="s">
        <v>9</v>
      </c>
      <c r="B15" s="3">
        <f>SUM(C4:C12)</f>
        <v>893</v>
      </c>
      <c r="C15" s="3"/>
      <c r="D15" s="3"/>
      <c r="E15" s="3"/>
      <c r="F15" s="3"/>
      <c r="G15" s="3"/>
    </row>
    <row r="16" spans="1:7" x14ac:dyDescent="0.2">
      <c r="A16" s="3" t="s">
        <v>10</v>
      </c>
      <c r="B16" s="3"/>
      <c r="C16" s="3"/>
      <c r="D16" s="3"/>
      <c r="E16" s="3"/>
      <c r="F16" s="3"/>
      <c r="G16" s="3"/>
    </row>
    <row r="17" spans="1:7" x14ac:dyDescent="0.2">
      <c r="A17" s="3" t="s">
        <v>11</v>
      </c>
      <c r="B17" s="3">
        <f>SUM(B15:B16)</f>
        <v>893</v>
      </c>
      <c r="C17" s="3"/>
      <c r="D17" s="3"/>
      <c r="E17" s="3"/>
      <c r="F17" s="3"/>
      <c r="G17" s="3"/>
    </row>
    <row r="19" spans="1:7" x14ac:dyDescent="0.2">
      <c r="A19" s="3" t="s">
        <v>33</v>
      </c>
      <c r="B19">
        <f>F1-B17</f>
        <v>1667.17</v>
      </c>
    </row>
  </sheetData>
  <mergeCells count="3">
    <mergeCell ref="B1:D1"/>
    <mergeCell ref="B3:C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93D8-FD8A-5F48-99B2-0FAE34BDD188}">
  <dimension ref="A1:G20"/>
  <sheetViews>
    <sheetView zoomScale="169" workbookViewId="0">
      <selection activeCell="G20" sqref="G20"/>
    </sheetView>
  </sheetViews>
  <sheetFormatPr baseColWidth="10" defaultRowHeight="16" x14ac:dyDescent="0.2"/>
  <cols>
    <col min="1" max="1" width="12.5" customWidth="1"/>
    <col min="2" max="2" width="14.5" customWidth="1"/>
    <col min="6" max="6" width="21.33203125" customWidth="1"/>
  </cols>
  <sheetData>
    <row r="1" spans="1:7" x14ac:dyDescent="0.2">
      <c r="B1" s="9" t="s">
        <v>6</v>
      </c>
      <c r="C1" s="9"/>
      <c r="D1" s="9"/>
      <c r="E1" s="2" t="s">
        <v>8</v>
      </c>
      <c r="F1">
        <f>1337.92+1222.25</f>
        <v>2560.17</v>
      </c>
    </row>
    <row r="3" spans="1:7" x14ac:dyDescent="0.2">
      <c r="B3" s="9" t="s">
        <v>0</v>
      </c>
      <c r="C3" s="9"/>
      <c r="F3" s="9" t="s">
        <v>1</v>
      </c>
      <c r="G3" s="9"/>
    </row>
    <row r="4" spans="1:7" x14ac:dyDescent="0.2">
      <c r="A4" s="1">
        <v>45901</v>
      </c>
      <c r="B4" t="s">
        <v>2</v>
      </c>
      <c r="C4">
        <v>730</v>
      </c>
      <c r="E4" s="1">
        <v>45928</v>
      </c>
      <c r="F4" t="s">
        <v>7</v>
      </c>
      <c r="G4">
        <v>1488.61</v>
      </c>
    </row>
    <row r="5" spans="1:7" x14ac:dyDescent="0.2">
      <c r="A5" s="1">
        <v>45926</v>
      </c>
      <c r="B5" t="s">
        <v>3</v>
      </c>
      <c r="C5">
        <v>70</v>
      </c>
      <c r="F5" t="s">
        <v>15</v>
      </c>
      <c r="G5">
        <v>167.73</v>
      </c>
    </row>
    <row r="6" spans="1:7" x14ac:dyDescent="0.2">
      <c r="A6" s="1">
        <v>45901</v>
      </c>
      <c r="B6" t="s">
        <v>4</v>
      </c>
      <c r="C6">
        <v>10</v>
      </c>
      <c r="F6" t="s">
        <v>16</v>
      </c>
      <c r="G6">
        <v>166.54</v>
      </c>
    </row>
    <row r="7" spans="1:7" x14ac:dyDescent="0.2">
      <c r="A7" s="1">
        <v>45927</v>
      </c>
      <c r="B7" t="s">
        <v>5</v>
      </c>
      <c r="C7">
        <v>9</v>
      </c>
      <c r="F7" t="s">
        <v>17</v>
      </c>
      <c r="G7">
        <f>22/4</f>
        <v>5.5</v>
      </c>
    </row>
    <row r="8" spans="1:7" x14ac:dyDescent="0.2">
      <c r="A8" s="1">
        <v>45919</v>
      </c>
      <c r="B8" t="s">
        <v>13</v>
      </c>
      <c r="C8">
        <v>19</v>
      </c>
      <c r="F8" t="s">
        <v>20</v>
      </c>
      <c r="G8">
        <v>40</v>
      </c>
    </row>
    <row r="9" spans="1:7" x14ac:dyDescent="0.2">
      <c r="A9" s="1">
        <v>45919</v>
      </c>
      <c r="B9" t="s">
        <v>14</v>
      </c>
      <c r="C9">
        <v>17</v>
      </c>
      <c r="F9" t="s">
        <v>21</v>
      </c>
      <c r="G9">
        <v>20</v>
      </c>
    </row>
    <row r="10" spans="1:7" x14ac:dyDescent="0.2">
      <c r="A10" s="1">
        <v>45902</v>
      </c>
      <c r="B10" t="s">
        <v>18</v>
      </c>
      <c r="C10">
        <v>16</v>
      </c>
      <c r="F10" t="s">
        <v>22</v>
      </c>
      <c r="G10">
        <v>17</v>
      </c>
    </row>
    <row r="11" spans="1:7" x14ac:dyDescent="0.2">
      <c r="A11" s="1">
        <v>45930</v>
      </c>
      <c r="B11" t="s">
        <v>19</v>
      </c>
      <c r="C11">
        <v>7</v>
      </c>
      <c r="F11" t="s">
        <v>23</v>
      </c>
      <c r="G11">
        <v>202</v>
      </c>
    </row>
    <row r="12" spans="1:7" x14ac:dyDescent="0.2">
      <c r="A12" s="1">
        <v>45916</v>
      </c>
      <c r="B12" t="s">
        <v>24</v>
      </c>
      <c r="C12">
        <v>15</v>
      </c>
      <c r="F12" t="s">
        <v>25</v>
      </c>
      <c r="G12">
        <v>342.68</v>
      </c>
    </row>
    <row r="13" spans="1:7" x14ac:dyDescent="0.2">
      <c r="F13" t="s">
        <v>26</v>
      </c>
      <c r="G13">
        <v>41.26</v>
      </c>
    </row>
    <row r="15" spans="1:7" x14ac:dyDescent="0.2">
      <c r="A15" t="s">
        <v>9</v>
      </c>
      <c r="B15">
        <f>SUM(C4:C10)</f>
        <v>871</v>
      </c>
    </row>
    <row r="16" spans="1:7" x14ac:dyDescent="0.2">
      <c r="A16" t="s">
        <v>10</v>
      </c>
      <c r="B16">
        <f>SUM(G4:G19)</f>
        <v>2491.3200000000002</v>
      </c>
    </row>
    <row r="17" spans="1:2" x14ac:dyDescent="0.2">
      <c r="A17" t="s">
        <v>11</v>
      </c>
      <c r="B17">
        <f>SUM(B15:B16)</f>
        <v>3362.32</v>
      </c>
    </row>
    <row r="20" spans="1:2" x14ac:dyDescent="0.2">
      <c r="A20" t="s">
        <v>12</v>
      </c>
      <c r="B20" s="7">
        <f>F1-B17</f>
        <v>-802.15000000000009</v>
      </c>
    </row>
  </sheetData>
  <mergeCells count="3">
    <mergeCell ref="B1:D1"/>
    <mergeCell ref="B3:C3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212A-F548-534B-A57E-569926D40C0B}">
  <dimension ref="A1:G24"/>
  <sheetViews>
    <sheetView tabSelected="1" topLeftCell="A2" zoomScale="150" workbookViewId="0">
      <selection activeCell="F15" sqref="F15"/>
    </sheetView>
  </sheetViews>
  <sheetFormatPr baseColWidth="10" defaultRowHeight="16" x14ac:dyDescent="0.2"/>
  <cols>
    <col min="1" max="1" width="14.1640625" customWidth="1"/>
    <col min="2" max="2" width="14.6640625" customWidth="1"/>
    <col min="6" max="6" width="22.83203125" customWidth="1"/>
  </cols>
  <sheetData>
    <row r="1" spans="1:7" x14ac:dyDescent="0.2">
      <c r="A1" s="3"/>
      <c r="B1" s="8" t="s">
        <v>6</v>
      </c>
      <c r="C1" s="8"/>
      <c r="D1" s="8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4" t="s">
        <v>36</v>
      </c>
      <c r="B3" s="3">
        <v>1342.61</v>
      </c>
      <c r="C3" s="3"/>
      <c r="D3" s="3"/>
      <c r="E3" s="3"/>
      <c r="F3" s="3"/>
      <c r="G3" s="3"/>
    </row>
    <row r="4" spans="1:7" x14ac:dyDescent="0.2">
      <c r="A4" s="4" t="s">
        <v>35</v>
      </c>
      <c r="B4" s="3">
        <v>1342.61</v>
      </c>
      <c r="C4" s="3" t="s">
        <v>40</v>
      </c>
      <c r="D4" s="3"/>
      <c r="E4" s="3"/>
      <c r="F4" s="3"/>
      <c r="G4" s="3"/>
    </row>
    <row r="5" spans="1:7" x14ac:dyDescent="0.2">
      <c r="A5" s="4" t="s">
        <v>37</v>
      </c>
      <c r="B5" s="3">
        <f>SUM(B3:B4)</f>
        <v>2685.22</v>
      </c>
      <c r="C5" s="3"/>
      <c r="D5" s="3"/>
      <c r="E5" s="3"/>
      <c r="F5" s="3"/>
      <c r="G5" s="3"/>
    </row>
    <row r="6" spans="1:7" x14ac:dyDescent="0.2">
      <c r="A6" s="3"/>
      <c r="B6" s="3"/>
      <c r="C6" s="3"/>
      <c r="D6" s="3"/>
      <c r="E6" s="3"/>
      <c r="F6" s="3"/>
      <c r="G6" s="3"/>
    </row>
    <row r="7" spans="1:7" x14ac:dyDescent="0.2">
      <c r="A7" s="3"/>
      <c r="B7" s="8" t="s">
        <v>0</v>
      </c>
      <c r="C7" s="8"/>
      <c r="D7" s="3"/>
      <c r="E7" s="3"/>
      <c r="F7" s="8" t="s">
        <v>1</v>
      </c>
      <c r="G7" s="8"/>
    </row>
    <row r="8" spans="1:7" x14ac:dyDescent="0.2">
      <c r="A8" s="5">
        <v>45901</v>
      </c>
      <c r="B8" s="3" t="s">
        <v>2</v>
      </c>
      <c r="C8" s="3">
        <v>730</v>
      </c>
      <c r="D8" s="3"/>
      <c r="E8" s="5"/>
      <c r="F8" s="3" t="s">
        <v>34</v>
      </c>
      <c r="G8" s="3">
        <v>178.18</v>
      </c>
    </row>
    <row r="9" spans="1:7" x14ac:dyDescent="0.2">
      <c r="A9" s="5">
        <v>45926</v>
      </c>
      <c r="B9" s="3" t="s">
        <v>3</v>
      </c>
      <c r="C9" s="3">
        <v>70</v>
      </c>
      <c r="D9" s="3"/>
      <c r="E9" s="3"/>
      <c r="F9" s="3" t="s">
        <v>38</v>
      </c>
      <c r="G9" s="3">
        <v>46.39</v>
      </c>
    </row>
    <row r="10" spans="1:7" x14ac:dyDescent="0.2">
      <c r="A10" s="5">
        <v>45901</v>
      </c>
      <c r="B10" s="3" t="s">
        <v>4</v>
      </c>
      <c r="C10" s="3">
        <v>10</v>
      </c>
      <c r="D10" s="3"/>
      <c r="E10" s="3"/>
      <c r="F10" s="3" t="s">
        <v>39</v>
      </c>
      <c r="G10" s="3">
        <v>119.01</v>
      </c>
    </row>
    <row r="11" spans="1:7" x14ac:dyDescent="0.2">
      <c r="A11" s="5">
        <v>45927</v>
      </c>
      <c r="B11" s="3" t="s">
        <v>5</v>
      </c>
      <c r="C11" s="3">
        <v>9</v>
      </c>
      <c r="D11" s="3"/>
      <c r="E11" s="3"/>
      <c r="F11" s="3" t="s">
        <v>41</v>
      </c>
      <c r="G11" s="3">
        <v>33.39</v>
      </c>
    </row>
    <row r="12" spans="1:7" x14ac:dyDescent="0.2">
      <c r="A12" s="5">
        <v>45919</v>
      </c>
      <c r="B12" s="3" t="s">
        <v>13</v>
      </c>
      <c r="C12" s="3">
        <v>19</v>
      </c>
      <c r="D12" s="3"/>
      <c r="E12" s="3"/>
      <c r="F12" t="s">
        <v>42</v>
      </c>
      <c r="G12">
        <v>16</v>
      </c>
    </row>
    <row r="13" spans="1:7" x14ac:dyDescent="0.2">
      <c r="A13" s="5">
        <v>45919</v>
      </c>
      <c r="B13" s="3" t="s">
        <v>14</v>
      </c>
      <c r="C13" s="3">
        <v>17</v>
      </c>
      <c r="D13" s="3"/>
      <c r="E13" s="3"/>
      <c r="F13" t="s">
        <v>43</v>
      </c>
      <c r="G13">
        <v>30.8</v>
      </c>
    </row>
    <row r="14" spans="1:7" x14ac:dyDescent="0.2">
      <c r="A14" s="5">
        <v>45902</v>
      </c>
      <c r="B14" s="3" t="s">
        <v>18</v>
      </c>
      <c r="C14" s="3">
        <v>16</v>
      </c>
      <c r="D14" s="3"/>
      <c r="E14" s="3"/>
      <c r="F14" s="3"/>
      <c r="G14" s="3"/>
    </row>
    <row r="15" spans="1:7" x14ac:dyDescent="0.2">
      <c r="A15" s="5">
        <v>45930</v>
      </c>
      <c r="B15" s="3" t="s">
        <v>19</v>
      </c>
      <c r="C15" s="3">
        <v>7</v>
      </c>
      <c r="D15" s="3"/>
      <c r="E15" s="3"/>
      <c r="F15" s="3"/>
      <c r="G15" s="3"/>
    </row>
    <row r="16" spans="1:7" x14ac:dyDescent="0.2">
      <c r="A16" s="5">
        <v>45916</v>
      </c>
      <c r="B16" s="3" t="s">
        <v>24</v>
      </c>
      <c r="C16" s="3">
        <v>15</v>
      </c>
      <c r="D16" s="3"/>
      <c r="E16" s="3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 t="s">
        <v>9</v>
      </c>
      <c r="B19" s="3">
        <f>SUM(C8:C16)</f>
        <v>893</v>
      </c>
      <c r="C19" s="3"/>
      <c r="D19" s="3"/>
      <c r="E19" s="3"/>
      <c r="F19" s="3"/>
      <c r="G19" s="3"/>
    </row>
    <row r="20" spans="1:7" x14ac:dyDescent="0.2">
      <c r="A20" s="3" t="s">
        <v>10</v>
      </c>
      <c r="B20" s="3">
        <f>SUM(G8:G23)</f>
        <v>423.77</v>
      </c>
      <c r="C20" s="3"/>
      <c r="D20" s="3"/>
      <c r="E20" s="3"/>
      <c r="F20" s="3"/>
      <c r="G20" s="3"/>
    </row>
    <row r="21" spans="1:7" x14ac:dyDescent="0.2">
      <c r="A21" s="3" t="s">
        <v>11</v>
      </c>
      <c r="B21" s="3">
        <f>SUM(B19:B20)</f>
        <v>1316.77</v>
      </c>
      <c r="C21" s="3"/>
      <c r="D21" s="3"/>
      <c r="E21" s="3"/>
      <c r="F21" s="3"/>
      <c r="G21" s="3"/>
    </row>
    <row r="24" spans="1:7" x14ac:dyDescent="0.2">
      <c r="A24" s="3" t="s">
        <v>12</v>
      </c>
      <c r="B24">
        <f>B5-B21</f>
        <v>1368.4499999999998</v>
      </c>
    </row>
  </sheetData>
  <mergeCells count="3">
    <mergeCell ref="B1:D1"/>
    <mergeCell ref="B7:C7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2026 Template</vt:lpstr>
      <vt:lpstr>September 2026</vt:lpstr>
      <vt:lpstr>October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2025-10-09T02:07:24Z</dcterms:created>
  <dcterms:modified xsi:type="dcterms:W3CDTF">2025-10-10T02:42:40Z</dcterms:modified>
</cp:coreProperties>
</file>